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to_sešit"/>
  <mc:AlternateContent xmlns:mc="http://schemas.openxmlformats.org/markup-compatibility/2006">
    <mc:Choice Requires="x15">
      <x15ac:absPath xmlns:x15ac="http://schemas.microsoft.com/office/spreadsheetml/2010/11/ac" url="C:\Users\42191\Documents\PODNIKANIE\PROJEKTY\2026\26_08_Audit faxcopy\"/>
    </mc:Choice>
  </mc:AlternateContent>
  <xr:revisionPtr revIDLastSave="0" documentId="13_ncr:20001_{DBE9B63E-057E-4A39-B8AD-F456750ED223}" xr6:coauthVersionLast="47" xr6:coauthVersionMax="47" xr10:uidLastSave="{00000000-0000-0000-0000-000000000000}"/>
  <bookViews>
    <workbookView xWindow="-120" yWindow="-120" windowWidth="29040" windowHeight="15720" tabRatio="786" xr2:uid="{00000000-000D-0000-FFFF-FFFF00000000}"/>
  </bookViews>
  <sheets>
    <sheet name="Správa TOB" sheetId="1" r:id="rId1"/>
    <sheet name="KLIMA_DB" sheetId="2" r:id="rId2"/>
    <sheet name="Výpočet_mesacny" sheetId="3" r:id="rId3"/>
    <sheet name="Vizualizácia výsledkov" sheetId="4" r:id="rId4"/>
  </sheets>
  <definedNames>
    <definedName name="dt">#REF!</definedName>
    <definedName name="k_1">#REF!</definedName>
    <definedName name="Plocha__m2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 a="1"/>
  <c r="E75" i="1" s="1"/>
  <c r="I25" i="1"/>
  <c r="B34" i="4" l="1"/>
  <c r="I26" i="1"/>
  <c r="I53" i="1"/>
  <c r="B66" i="4"/>
  <c r="B65" i="4"/>
  <c r="B64" i="4"/>
  <c r="B63" i="4"/>
  <c r="B35" i="4"/>
  <c r="B20" i="4"/>
  <c r="B19" i="4"/>
  <c r="B5" i="4"/>
  <c r="D44" i="3"/>
  <c r="O35" i="3"/>
  <c r="O34" i="3"/>
  <c r="O33" i="3"/>
  <c r="O32" i="3"/>
  <c r="O31" i="3"/>
  <c r="O30" i="3"/>
  <c r="C27" i="3"/>
  <c r="C26" i="3"/>
  <c r="C25" i="3"/>
  <c r="C24" i="3"/>
  <c r="C57" i="3" s="1"/>
  <c r="C23" i="3"/>
  <c r="C22" i="3"/>
  <c r="C55" i="3" s="1"/>
  <c r="C21" i="3"/>
  <c r="C20" i="3"/>
  <c r="C53" i="3" s="1"/>
  <c r="C19" i="3"/>
  <c r="C18" i="3"/>
  <c r="C17" i="3"/>
  <c r="C16" i="3"/>
  <c r="D10" i="3"/>
  <c r="D8" i="3"/>
  <c r="I108" i="1"/>
  <c r="I101" i="1"/>
  <c r="J82" i="1"/>
  <c r="J81" i="1"/>
  <c r="J80" i="1"/>
  <c r="E80" i="1"/>
  <c r="J79" i="1"/>
  <c r="E79" i="1"/>
  <c r="J78" i="1"/>
  <c r="E78" i="1"/>
  <c r="J77" i="1"/>
  <c r="E77" i="1"/>
  <c r="J76" i="1"/>
  <c r="E76" i="1"/>
  <c r="J75" i="1"/>
  <c r="I62" i="1"/>
  <c r="F56" i="3" l="1"/>
  <c r="F54" i="3"/>
  <c r="B36" i="4"/>
  <c r="B38" i="4"/>
  <c r="K23" i="3"/>
  <c r="K21" i="3"/>
  <c r="K25" i="3"/>
  <c r="K18" i="3"/>
  <c r="K26" i="3"/>
  <c r="F27" i="3"/>
  <c r="F19" i="3"/>
  <c r="F21" i="3"/>
  <c r="B6" i="4"/>
  <c r="B39" i="4" s="1"/>
  <c r="I86" i="1"/>
  <c r="B23" i="4" s="1"/>
  <c r="D43" i="3"/>
  <c r="E51" i="3" s="1"/>
  <c r="D6" i="3"/>
  <c r="E25" i="3" s="1"/>
  <c r="D7" i="3"/>
  <c r="B7" i="4"/>
  <c r="E23" i="3"/>
  <c r="C56" i="3"/>
  <c r="F23" i="3"/>
  <c r="D21" i="3"/>
  <c r="B21" i="4"/>
  <c r="K24" i="3"/>
  <c r="E22" i="3"/>
  <c r="C59" i="3"/>
  <c r="J59" i="3" s="1"/>
  <c r="K59" i="3" s="1"/>
  <c r="F22" i="3"/>
  <c r="C51" i="3"/>
  <c r="J51" i="3" s="1"/>
  <c r="K51" i="3" s="1"/>
  <c r="D23" i="3"/>
  <c r="B54" i="4" s="1"/>
  <c r="C54" i="3"/>
  <c r="C50" i="3"/>
  <c r="J50" i="3" s="1"/>
  <c r="E17" i="3"/>
  <c r="F17" i="3"/>
  <c r="C58" i="3"/>
  <c r="J58" i="3" s="1"/>
  <c r="F25" i="3"/>
  <c r="O28" i="3"/>
  <c r="F16" i="3"/>
  <c r="Q28" i="3"/>
  <c r="I29" i="1" s="1"/>
  <c r="B10" i="4" s="1"/>
  <c r="F55" i="3"/>
  <c r="F59" i="3"/>
  <c r="C49" i="3"/>
  <c r="K17" i="3"/>
  <c r="B67" i="4"/>
  <c r="I85" i="1"/>
  <c r="I50" i="1"/>
  <c r="I27" i="1"/>
  <c r="B8" i="4" s="1"/>
  <c r="K16" i="3"/>
  <c r="E24" i="3"/>
  <c r="F24" i="3"/>
  <c r="F53" i="3"/>
  <c r="K20" i="3"/>
  <c r="F49" i="3"/>
  <c r="C52" i="3"/>
  <c r="J52" i="3" s="1"/>
  <c r="F57" i="3"/>
  <c r="E58" i="3"/>
  <c r="C60" i="3"/>
  <c r="J60" i="3" s="1"/>
  <c r="K19" i="3"/>
  <c r="K27" i="3"/>
  <c r="F18" i="3"/>
  <c r="F26" i="3"/>
  <c r="E27" i="3"/>
  <c r="F50" i="3"/>
  <c r="F58" i="3"/>
  <c r="K22" i="3"/>
  <c r="F51" i="3"/>
  <c r="E52" i="3"/>
  <c r="F20" i="3"/>
  <c r="E21" i="3"/>
  <c r="D22" i="3"/>
  <c r="F52" i="3"/>
  <c r="F60" i="3"/>
  <c r="E60" i="3" l="1"/>
  <c r="E50" i="3"/>
  <c r="E59" i="3"/>
  <c r="G59" i="3" s="1"/>
  <c r="E18" i="3"/>
  <c r="G23" i="3"/>
  <c r="C54" i="4" s="1"/>
  <c r="G27" i="3"/>
  <c r="C58" i="4" s="1"/>
  <c r="G21" i="3"/>
  <c r="C52" i="4" s="1"/>
  <c r="G22" i="3"/>
  <c r="C53" i="4" s="1"/>
  <c r="E19" i="3"/>
  <c r="G19" i="3" s="1"/>
  <c r="C50" i="4" s="1"/>
  <c r="E20" i="3"/>
  <c r="G20" i="3" s="1"/>
  <c r="C51" i="4" s="1"/>
  <c r="E53" i="3"/>
  <c r="G53" i="3" s="1"/>
  <c r="E49" i="3"/>
  <c r="G49" i="3" s="1"/>
  <c r="E16" i="3"/>
  <c r="G16" i="3" s="1"/>
  <c r="E26" i="3"/>
  <c r="G26" i="3" s="1"/>
  <c r="C57" i="4" s="1"/>
  <c r="H23" i="3"/>
  <c r="B68" i="4"/>
  <c r="I23" i="3"/>
  <c r="B26" i="4"/>
  <c r="D11" i="3"/>
  <c r="D46" i="3" s="1"/>
  <c r="E57" i="3"/>
  <c r="G57" i="3" s="1"/>
  <c r="E55" i="3"/>
  <c r="G55" i="3" s="1"/>
  <c r="E54" i="3"/>
  <c r="G54" i="3" s="1"/>
  <c r="E56" i="3"/>
  <c r="G56" i="3" s="1"/>
  <c r="E57" i="4"/>
  <c r="H21" i="3"/>
  <c r="I21" i="3" s="1"/>
  <c r="B52" i="4"/>
  <c r="G25" i="3"/>
  <c r="C56" i="4" s="1"/>
  <c r="E49" i="4"/>
  <c r="G50" i="3"/>
  <c r="F61" i="3"/>
  <c r="K58" i="3"/>
  <c r="E56" i="4"/>
  <c r="G51" i="3"/>
  <c r="G60" i="3"/>
  <c r="S61" i="3"/>
  <c r="O61" i="3"/>
  <c r="I107" i="1" s="1"/>
  <c r="I197" i="1" s="1"/>
  <c r="J49" i="3"/>
  <c r="F28" i="3"/>
  <c r="I83" i="1" s="1"/>
  <c r="G17" i="3"/>
  <c r="C48" i="4" s="1"/>
  <c r="G18" i="3"/>
  <c r="C49" i="4" s="1"/>
  <c r="G52" i="3"/>
  <c r="E58" i="4"/>
  <c r="K60" i="3"/>
  <c r="H22" i="3"/>
  <c r="B53" i="4"/>
  <c r="I22" i="3"/>
  <c r="E50" i="4"/>
  <c r="K52" i="3"/>
  <c r="G24" i="3"/>
  <c r="C55" i="4" s="1"/>
  <c r="G58" i="3"/>
  <c r="I112" i="1"/>
  <c r="B22" i="4"/>
  <c r="B25" i="4" s="1"/>
  <c r="P28" i="3"/>
  <c r="I90" i="1" s="1"/>
  <c r="I91" i="1"/>
  <c r="K50" i="3"/>
  <c r="E48" i="4"/>
  <c r="J21" i="3" l="1"/>
  <c r="D52" i="4" s="1"/>
  <c r="J23" i="3"/>
  <c r="D54" i="4" s="1"/>
  <c r="J22" i="3"/>
  <c r="D53" i="4" s="1"/>
  <c r="E28" i="3"/>
  <c r="I69" i="1" s="1"/>
  <c r="E61" i="3"/>
  <c r="G61" i="3"/>
  <c r="I198" i="1"/>
  <c r="G28" i="3"/>
  <c r="C47" i="4"/>
  <c r="P61" i="3"/>
  <c r="E47" i="4"/>
  <c r="K49" i="3"/>
  <c r="B9" i="4"/>
  <c r="I196" i="1"/>
  <c r="D45" i="3"/>
  <c r="I195" i="1"/>
  <c r="B24" i="4"/>
  <c r="B37" i="4" s="1"/>
  <c r="B40" i="4" s="1"/>
  <c r="I200" i="1"/>
  <c r="I201" i="1" s="1"/>
  <c r="D9" i="3"/>
  <c r="I199" i="1" l="1"/>
  <c r="B27" i="4"/>
  <c r="D26" i="3"/>
  <c r="D18" i="3"/>
  <c r="H8" i="3"/>
  <c r="H9" i="3" s="1"/>
  <c r="D24" i="3"/>
  <c r="D17" i="3"/>
  <c r="D19" i="3"/>
  <c r="D20" i="3"/>
  <c r="D16" i="3"/>
  <c r="D27" i="3"/>
  <c r="D25" i="3"/>
  <c r="I203" i="1"/>
  <c r="I109" i="1" s="1"/>
  <c r="I202" i="1"/>
  <c r="D57" i="3"/>
  <c r="D49" i="3"/>
  <c r="D54" i="3"/>
  <c r="D53" i="3"/>
  <c r="D60" i="3"/>
  <c r="D52" i="3"/>
  <c r="H44" i="3"/>
  <c r="H45" i="3" s="1"/>
  <c r="D58" i="3"/>
  <c r="D50" i="3"/>
  <c r="D59" i="3"/>
  <c r="D51" i="3"/>
  <c r="D56" i="3"/>
  <c r="D55" i="3"/>
  <c r="H17" i="3" l="1"/>
  <c r="I17" i="3" s="1"/>
  <c r="J17" i="3" s="1"/>
  <c r="D48" i="4" s="1"/>
  <c r="B48" i="4"/>
  <c r="H57" i="3"/>
  <c r="I57" i="3" s="1"/>
  <c r="J57" i="3" s="1"/>
  <c r="H50" i="3"/>
  <c r="I50" i="3" s="1"/>
  <c r="H25" i="3"/>
  <c r="I25" i="3" s="1"/>
  <c r="J25" i="3" s="1"/>
  <c r="D56" i="4" s="1"/>
  <c r="B56" i="4"/>
  <c r="H18" i="3"/>
  <c r="I18" i="3" s="1"/>
  <c r="J18" i="3" s="1"/>
  <c r="D49" i="4" s="1"/>
  <c r="B49" i="4"/>
  <c r="H52" i="3"/>
  <c r="I52" i="3" s="1"/>
  <c r="H55" i="3"/>
  <c r="I55" i="3" s="1"/>
  <c r="J55" i="3" s="1"/>
  <c r="H60" i="3"/>
  <c r="I60" i="3" s="1"/>
  <c r="B58" i="4"/>
  <c r="H27" i="3"/>
  <c r="I27" i="3" s="1"/>
  <c r="J27" i="3" s="1"/>
  <c r="D58" i="4" s="1"/>
  <c r="H26" i="3"/>
  <c r="I26" i="3" s="1"/>
  <c r="J26" i="3" s="1"/>
  <c r="D57" i="4" s="1"/>
  <c r="B57" i="4"/>
  <c r="H56" i="3"/>
  <c r="I56" i="3" s="1"/>
  <c r="J56" i="3" s="1"/>
  <c r="H53" i="3"/>
  <c r="I53" i="3" s="1"/>
  <c r="J53" i="3" s="1"/>
  <c r="H16" i="3"/>
  <c r="I16" i="3" s="1"/>
  <c r="B47" i="4"/>
  <c r="D28" i="3"/>
  <c r="B73" i="4"/>
  <c r="B28" i="4"/>
  <c r="H24" i="3"/>
  <c r="I24" i="3" s="1"/>
  <c r="J24" i="3" s="1"/>
  <c r="D55" i="4" s="1"/>
  <c r="B55" i="4"/>
  <c r="H54" i="3"/>
  <c r="I54" i="3" s="1"/>
  <c r="J54" i="3" s="1"/>
  <c r="B51" i="4"/>
  <c r="H20" i="3"/>
  <c r="I20" i="3" s="1"/>
  <c r="J20" i="3" s="1"/>
  <c r="D51" i="4" s="1"/>
  <c r="B74" i="4"/>
  <c r="B41" i="4"/>
  <c r="H58" i="3"/>
  <c r="I58" i="3" s="1"/>
  <c r="H51" i="3"/>
  <c r="I51" i="3" s="1"/>
  <c r="H59" i="3"/>
  <c r="I59" i="3" s="1"/>
  <c r="H49" i="3"/>
  <c r="I49" i="3" s="1"/>
  <c r="D61" i="3"/>
  <c r="H19" i="3"/>
  <c r="I19" i="3" s="1"/>
  <c r="J19" i="3" s="1"/>
  <c r="D50" i="4" s="1"/>
  <c r="B50" i="4"/>
  <c r="I204" i="1"/>
  <c r="I110" i="1" s="1"/>
  <c r="I115" i="1" s="1"/>
  <c r="B14" i="4" s="1"/>
  <c r="I61" i="3" l="1"/>
  <c r="E54" i="4"/>
  <c r="K56" i="3"/>
  <c r="E53" i="4"/>
  <c r="K55" i="3"/>
  <c r="E55" i="4"/>
  <c r="K57" i="3"/>
  <c r="K54" i="3"/>
  <c r="E52" i="4"/>
  <c r="I28" i="3"/>
  <c r="J16" i="3"/>
  <c r="E51" i="4"/>
  <c r="K53" i="3"/>
  <c r="J61" i="3"/>
  <c r="B13" i="4" s="1"/>
  <c r="B42" i="4" s="1"/>
  <c r="D47" i="4" l="1"/>
  <c r="J28" i="3"/>
  <c r="I87" i="1"/>
  <c r="I102" i="1"/>
  <c r="B11" i="4" l="1"/>
  <c r="B29" i="4" s="1"/>
  <c r="I103" i="1"/>
  <c r="I113" i="1" l="1"/>
  <c r="I114" i="1"/>
  <c r="B1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<sst xmlns="http://schemas.openxmlformats.org/spreadsheetml/2006/main" count="773" uniqueCount="508">
  <si>
    <t>Tabuľka 1: Tepelná ochrana budovy, potreba tepla na vykurovanie a chladenie</t>
  </si>
  <si>
    <t>Č.r.</t>
  </si>
  <si>
    <t>ZÁKLADNÉ ÚDAJE O BUDOVE</t>
  </si>
  <si>
    <t>Názov budovy:</t>
  </si>
  <si>
    <t>Ulica, číslo:</t>
  </si>
  <si>
    <t xml:space="preserve"> </t>
  </si>
  <si>
    <t>Obec:</t>
  </si>
  <si>
    <t>Parc. č.:</t>
  </si>
  <si>
    <t>Katastrálne územie:</t>
  </si>
  <si>
    <t>Účel spracovania energetického certifikátu:</t>
  </si>
  <si>
    <t>Iný účel</t>
  </si>
  <si>
    <t>Výpočet potreby tepla na vykurovanie</t>
  </si>
  <si>
    <t>VSTUPNÉ ÚDAJE</t>
  </si>
  <si>
    <t>Budova</t>
  </si>
  <si>
    <t>Kategória budovy (jeden účel užívania)</t>
  </si>
  <si>
    <t>Klimatická lokalita (Mesto pre mesačnú metódu)</t>
  </si>
  <si>
    <t>Nitra</t>
  </si>
  <si>
    <t>Zmiešaný účel užívania – kategória 2</t>
  </si>
  <si>
    <t xml:space="preserve">Podiel celkovej podlahovej plochy – kategória 1 </t>
  </si>
  <si>
    <t>%</t>
  </si>
  <si>
    <t>Podiel celkovej podlahovej plochy – kategória 2</t>
  </si>
  <si>
    <t>Rok kolaudácie</t>
  </si>
  <si>
    <t>Rok poslednej zmeny tepelnej ochrany</t>
  </si>
  <si>
    <t>Šírka budovy</t>
  </si>
  <si>
    <t>m</t>
  </si>
  <si>
    <t>Dĺžka budovy</t>
  </si>
  <si>
    <t>Výška budovy</t>
  </si>
  <si>
    <t>Počet podlaží</t>
  </si>
  <si>
    <t>Obostavaný objem</t>
  </si>
  <si>
    <t>m³</t>
  </si>
  <si>
    <t>Celková podlahová plocha</t>
  </si>
  <si>
    <t>m²</t>
  </si>
  <si>
    <t>Celková teplovýmenná plocha</t>
  </si>
  <si>
    <t>Priemerná konštrukčná výška</t>
  </si>
  <si>
    <t>Faktor tvaru</t>
  </si>
  <si>
    <t>1/m</t>
  </si>
  <si>
    <t xml:space="preserve">Výpočet </t>
  </si>
  <si>
    <t>Výpočtová metóda</t>
  </si>
  <si>
    <t>Mesačná</t>
  </si>
  <si>
    <t>Počet dennostupňov</t>
  </si>
  <si>
    <t>K.deň</t>
  </si>
  <si>
    <t>Tepelné straty</t>
  </si>
  <si>
    <t>Popis/názov obvodovej konštrukcie</t>
  </si>
  <si>
    <t>Súčiniteľ
prechodu tepla
konštrukcie Ui
(W/(m².K))</t>
  </si>
  <si>
    <t>Teplovýmenná</t>
  </si>
  <si>
    <t>Teplotný</t>
  </si>
  <si>
    <t>plocha</t>
  </si>
  <si>
    <t>redukčný</t>
  </si>
  <si>
    <t>Ai (m²)</t>
  </si>
  <si>
    <t>faktor b (-)</t>
  </si>
  <si>
    <t>Obvodový plášť :</t>
  </si>
  <si>
    <t xml:space="preserve">Obvodová stena  </t>
  </si>
  <si>
    <t>Strecha :</t>
  </si>
  <si>
    <t>Strecha</t>
  </si>
  <si>
    <t>Podlaha :</t>
  </si>
  <si>
    <t>Podlaha na teréne</t>
  </si>
  <si>
    <t>Otvorové konštrukcie :</t>
  </si>
  <si>
    <t>Okná a dvere</t>
  </si>
  <si>
    <t>Priemerný súčiniteľ prechodu tepla Um</t>
  </si>
  <si>
    <t>W/(m².K)</t>
  </si>
  <si>
    <t>Tepelná vodivosť (priepustnosť) podlahy a stien vo vykur.suteréne LS</t>
  </si>
  <si>
    <t>W/K</t>
  </si>
  <si>
    <t>Vplyv tepelných mostov ΔU</t>
  </si>
  <si>
    <t>Zvýšenie tepelnej straty vplyvom tepelných mostov ΔHTM</t>
  </si>
  <si>
    <t>Popis otvorovej konštrukcie</t>
  </si>
  <si>
    <t>Súčiniteľ</t>
  </si>
  <si>
    <t>Celková dĺžka</t>
  </si>
  <si>
    <t>prievzdušnosti</t>
  </si>
  <si>
    <t>škár otvorových</t>
  </si>
  <si>
    <t>otvorových</t>
  </si>
  <si>
    <t>konštrukcií l (m)</t>
  </si>
  <si>
    <t>výplní</t>
  </si>
  <si>
    <t>i .104</t>
  </si>
  <si>
    <t>(m²/(s.Pa0,67))</t>
  </si>
  <si>
    <t>≤0,0001</t>
  </si>
  <si>
    <t>Charakteristické číslo budovy B (ak sa použije na výpočet výmeny vzduchu)</t>
  </si>
  <si>
    <t>Priemerná intenzita výmeny vzduchu vypočítaná n</t>
  </si>
  <si>
    <t>1/h</t>
  </si>
  <si>
    <t>Nameraná vzduchotesnosť n50</t>
  </si>
  <si>
    <t>Uvažovaná priemerná intenzita výmeny vzduchu n</t>
  </si>
  <si>
    <t>Rekuperačná jednotka</t>
  </si>
  <si>
    <t>Nie</t>
  </si>
  <si>
    <t>Účinnosť rekuperačnej jednotky</t>
  </si>
  <si>
    <t>Podiel vzduchu prechádzajúceho cez jednotku</t>
  </si>
  <si>
    <t>Tepelné zisky</t>
  </si>
  <si>
    <t>W/m²</t>
  </si>
  <si>
    <t>Vnútorné tepelné zisky Qi</t>
  </si>
  <si>
    <t>kWh/a</t>
  </si>
  <si>
    <t>Intenzita slnečného žiarenia</t>
  </si>
  <si>
    <t>Priepustnosť</t>
  </si>
  <si>
    <t>Tieniaci faktor  (-)</t>
  </si>
  <si>
    <t>Plocha</t>
  </si>
  <si>
    <t>Účinná</t>
  </si>
  <si>
    <t>slnečného</t>
  </si>
  <si>
    <t>zasklených</t>
  </si>
  <si>
    <t>kolekčná</t>
  </si>
  <si>
    <t>Orientácia</t>
  </si>
  <si>
    <t>žiarenia</t>
  </si>
  <si>
    <t>plocha plné</t>
  </si>
  <si>
    <t>Isj (kWh/m²)</t>
  </si>
  <si>
    <t>g (-)</t>
  </si>
  <si>
    <t>konštrukcií A</t>
  </si>
  <si>
    <t>časti A (m²)</t>
  </si>
  <si>
    <t>(m²)</t>
  </si>
  <si>
    <t>(chladenie)</t>
  </si>
  <si>
    <t>Juh</t>
  </si>
  <si>
    <t>Sever</t>
  </si>
  <si>
    <t>V a Z</t>
  </si>
  <si>
    <t>JZ a JV</t>
  </si>
  <si>
    <t>SZ a SV</t>
  </si>
  <si>
    <t>Horizontálne</t>
  </si>
  <si>
    <t>Solárne tepelné zisky</t>
  </si>
  <si>
    <t>Merná potreba tepla na vykurovanie a chladenie</t>
  </si>
  <si>
    <t>Sezónna metóda</t>
  </si>
  <si>
    <t>Merná tepelná strata prechodom Ht</t>
  </si>
  <si>
    <t>Merná tepelná strata Hv</t>
  </si>
  <si>
    <t>Faktor využitia tepelných ziskov</t>
  </si>
  <si>
    <t>Merná potreba tepla na vykurovanie – sezónna metóda</t>
  </si>
  <si>
    <t>kWh/(m2.a)</t>
  </si>
  <si>
    <t>Mesačná metóda</t>
  </si>
  <si>
    <t>Priemerná vonkajšia teplota pre obdobie vykurovania</t>
  </si>
  <si>
    <t>°C</t>
  </si>
  <si>
    <t>Trvanie obdobia vykurovania</t>
  </si>
  <si>
    <t>dni</t>
  </si>
  <si>
    <t>Požadovaná vnútorná teplota pre obdobie vykurovania</t>
  </si>
  <si>
    <t>Prerušované vykurovanie (áno/nie)</t>
  </si>
  <si>
    <t>Áno</t>
  </si>
  <si>
    <t>Počet hodín s normálnou prevádzkou v pracovnom dni</t>
  </si>
  <si>
    <t>h</t>
  </si>
  <si>
    <t>Počet hodín s normálnou prevádzkou počas dní víkendu</t>
  </si>
  <si>
    <t>Spôsob uvažovania prerušovaného vykurovania (upravená</t>
  </si>
  <si>
    <t>vnútorná teplota / redukčný faktor)</t>
  </si>
  <si>
    <t>Redukčný faktor pre prerušované vykurovanie (ak sa uvažuje)</t>
  </si>
  <si>
    <t>Upravená vnútorná teplota pre prerušované vykurovanie (ak sa uvažuje)</t>
  </si>
  <si>
    <t>Typ konštrukcie (pre tepelnú kapacitu)</t>
  </si>
  <si>
    <t>Stredne ťažká</t>
  </si>
  <si>
    <t>C - vnútorná tepelná kapacita J/(K.m²)</t>
  </si>
  <si>
    <t>J/(K.m²)</t>
  </si>
  <si>
    <t>Priemerný faktor využitia tepelných ziskov - vykurovanie - mes.metóda</t>
  </si>
  <si>
    <t>Merná potreba tepla na vykurovanie – mesačná metóda</t>
  </si>
  <si>
    <t>Chladenie</t>
  </si>
  <si>
    <t>Priemerná vonkajšia teplota pre obdobie chladenia</t>
  </si>
  <si>
    <t>Požadovaná vnútorná teplota pre obdobie chladenia</t>
  </si>
  <si>
    <t>Trvanie obdobia chladenia</t>
  </si>
  <si>
    <t>Účinná solárna kolekčná plocha plných častí v m²</t>
  </si>
  <si>
    <t>Priemerný faktor využitia tepelných strát - chladenie - mesačná metóda</t>
  </si>
  <si>
    <t>Potreba chladu na chladenie – mesačná metóda</t>
  </si>
  <si>
    <t>VÝSLEDKY</t>
  </si>
  <si>
    <t>Merná tepelná strata bez tepelných ziskov (ak sa vyžaduje)</t>
  </si>
  <si>
    <t>kWh/(m².a)</t>
  </si>
  <si>
    <t>Merná potreba chladu na chladenie – mesačná metóda</t>
  </si>
  <si>
    <t>Q_C,ht  — prospešné straty cez obálku+vetranie [kWh]:</t>
  </si>
  <si>
    <t>Q_extra — prídavný zisk z obálky keď θe &gt; θint [kWh]:</t>
  </si>
  <si>
    <t>Q_int,C — vnútorné zisky [kWh]:</t>
  </si>
  <si>
    <t>Q_sol,C — solárne zisky letné [kWh]:</t>
  </si>
  <si>
    <t>Q_C,gn  — celkové chladiace zaťaženie [kWh]:</t>
  </si>
  <si>
    <t>tau_C   — tepelná časová konštanta [h]:</t>
  </si>
  <si>
    <t>a_C     — numerický parameter:</t>
  </si>
  <si>
    <t>gamma_C — pomer ziskov/strát:</t>
  </si>
  <si>
    <t>eta_C,ls — faktor využitia strát:</t>
  </si>
  <si>
    <t>Q_C,nd  — ročná potreba chladu [kWh]:</t>
  </si>
  <si>
    <t>Normatívne letné a zimné výpočtové teploty (STN 73 0540-3)</t>
  </si>
  <si>
    <t>Key_CityMonth</t>
  </si>
  <si>
    <t>Lokalita</t>
  </si>
  <si>
    <t>Mesiac</t>
  </si>
  <si>
    <t>Te</t>
  </si>
  <si>
    <t>Sol_Horiz</t>
  </si>
  <si>
    <t>Sol_South</t>
  </si>
  <si>
    <t>Sol_North</t>
  </si>
  <si>
    <t>Sol_East</t>
  </si>
  <si>
    <t>Sol_West</t>
  </si>
  <si>
    <t>Mesta Dropdown</t>
  </si>
  <si>
    <t>Trieda budovy</t>
  </si>
  <si>
    <t>Cm (J/K.m2)</t>
  </si>
  <si>
    <t>Mesto</t>
  </si>
  <si>
    <t>θe,výpočt,leto [°C]</t>
  </si>
  <si>
    <t>θe,výpočt,zima [°C]</t>
  </si>
  <si>
    <t>Nitra_1</t>
  </si>
  <si>
    <t>Veľmi ľahká</t>
  </si>
  <si>
    <t>Banska Bystrica</t>
  </si>
  <si>
    <t>Nitra_2</t>
  </si>
  <si>
    <t>Senica</t>
  </si>
  <si>
    <t>Ľahká</t>
  </si>
  <si>
    <t>Bardejov</t>
  </si>
  <si>
    <t>Nitra_3</t>
  </si>
  <si>
    <t>Topolcany</t>
  </si>
  <si>
    <t>Bratislava-letisko</t>
  </si>
  <si>
    <t>Nitra_4</t>
  </si>
  <si>
    <t>Piestany</t>
  </si>
  <si>
    <t>Ťažká</t>
  </si>
  <si>
    <t>Dolny Kubin</t>
  </si>
  <si>
    <t>Nitra_5</t>
  </si>
  <si>
    <t>Zilina</t>
  </si>
  <si>
    <t>Veľmi ťažká</t>
  </si>
  <si>
    <t>Košice-letisko</t>
  </si>
  <si>
    <t>Nitra_6</t>
  </si>
  <si>
    <t>Liptovský Mikuláš</t>
  </si>
  <si>
    <t>Nitra_7</t>
  </si>
  <si>
    <t>Nitra_8</t>
  </si>
  <si>
    <t>Trebisov</t>
  </si>
  <si>
    <t>Nitra_9</t>
  </si>
  <si>
    <t>Presov</t>
  </si>
  <si>
    <t>Nitra_10</t>
  </si>
  <si>
    <t>Nitra_11</t>
  </si>
  <si>
    <t>Nitra_12</t>
  </si>
  <si>
    <t>Senica_1</t>
  </si>
  <si>
    <t>Senica_2</t>
  </si>
  <si>
    <t>Senica_3</t>
  </si>
  <si>
    <t>Senica_4</t>
  </si>
  <si>
    <t>Senica_5</t>
  </si>
  <si>
    <t>Senica_6</t>
  </si>
  <si>
    <t>Senica_7</t>
  </si>
  <si>
    <t>Senica_8</t>
  </si>
  <si>
    <t>Senica_9</t>
  </si>
  <si>
    <t>Senica_10</t>
  </si>
  <si>
    <t>Senica_11</t>
  </si>
  <si>
    <t>Senica_12</t>
  </si>
  <si>
    <t>Topolcany_1</t>
  </si>
  <si>
    <t>Topolcany_2</t>
  </si>
  <si>
    <t>Topolcany_3</t>
  </si>
  <si>
    <t>Topolcany_4</t>
  </si>
  <si>
    <t>Topolcany_5</t>
  </si>
  <si>
    <t>Topolcany_6</t>
  </si>
  <si>
    <t>Topolcany_7</t>
  </si>
  <si>
    <t>Topolcany_8</t>
  </si>
  <si>
    <t>Topolcany_9</t>
  </si>
  <si>
    <t>Topolcany_10</t>
  </si>
  <si>
    <t>Topolcany_11</t>
  </si>
  <si>
    <t>Topolcany_12</t>
  </si>
  <si>
    <t>Piestany_1</t>
  </si>
  <si>
    <t>Piestany_2</t>
  </si>
  <si>
    <t>Piestany_3</t>
  </si>
  <si>
    <t>Piestany_4</t>
  </si>
  <si>
    <t>Piestany_5</t>
  </si>
  <si>
    <t>Piestany_6</t>
  </si>
  <si>
    <t>Piestany_7</t>
  </si>
  <si>
    <t>Piestany_8</t>
  </si>
  <si>
    <t>Piestany_9</t>
  </si>
  <si>
    <t>Piestany_10</t>
  </si>
  <si>
    <t>Piestany_11</t>
  </si>
  <si>
    <t>Piestany_12</t>
  </si>
  <si>
    <t>Zilina_1</t>
  </si>
  <si>
    <t>Zilina_2</t>
  </si>
  <si>
    <t>Zilina_3</t>
  </si>
  <si>
    <t>Zilina_4</t>
  </si>
  <si>
    <t>Zilina_5</t>
  </si>
  <si>
    <t>Zilina_6</t>
  </si>
  <si>
    <t>Zilina_7</t>
  </si>
  <si>
    <t>Zilina_8</t>
  </si>
  <si>
    <t>Zilina_9</t>
  </si>
  <si>
    <t>Zilina_10</t>
  </si>
  <si>
    <t>Zilina_11</t>
  </si>
  <si>
    <t>Zilina_12</t>
  </si>
  <si>
    <t>Dolny Kubin_1</t>
  </si>
  <si>
    <t>Dolny Kubin_2</t>
  </si>
  <si>
    <t>Dolny Kubin_3</t>
  </si>
  <si>
    <t>Dolny Kubin_4</t>
  </si>
  <si>
    <t>Dolny Kubin_5</t>
  </si>
  <si>
    <t>Dolny Kubin_6</t>
  </si>
  <si>
    <t>Dolny Kubin_7</t>
  </si>
  <si>
    <t>Dolny Kubin_8</t>
  </si>
  <si>
    <t>Dolny Kubin_9</t>
  </si>
  <si>
    <t>Dolny Kubin_10</t>
  </si>
  <si>
    <t>Dolny Kubin_11</t>
  </si>
  <si>
    <t>Dolny Kubin_12</t>
  </si>
  <si>
    <t>Banska Bystrica_1</t>
  </si>
  <si>
    <t>Banska Bystrica_2</t>
  </si>
  <si>
    <t>Banska Bystrica_3</t>
  </si>
  <si>
    <t>Banska Bystrica_4</t>
  </si>
  <si>
    <t>Banska Bystrica_5</t>
  </si>
  <si>
    <t>Banska Bystrica_6</t>
  </si>
  <si>
    <t>Banska Bystrica_7</t>
  </si>
  <si>
    <t>Banska Bystrica_8</t>
  </si>
  <si>
    <t>Banska Bystrica_9</t>
  </si>
  <si>
    <t>Banska Bystrica_10</t>
  </si>
  <si>
    <t>Banska Bystrica_11</t>
  </si>
  <si>
    <t>Banska Bystrica_12</t>
  </si>
  <si>
    <t>Trebisov_1</t>
  </si>
  <si>
    <t>Trebisov_2</t>
  </si>
  <si>
    <t>Trebisov_3</t>
  </si>
  <si>
    <t>Trebisov_4</t>
  </si>
  <si>
    <t>Trebisov_5</t>
  </si>
  <si>
    <t>Trebisov_6</t>
  </si>
  <si>
    <t>Trebisov_7</t>
  </si>
  <si>
    <t>Trebisov_8</t>
  </si>
  <si>
    <t>Trebisov_9</t>
  </si>
  <si>
    <t>Trebisov_10</t>
  </si>
  <si>
    <t>Trebisov_11</t>
  </si>
  <si>
    <t>Trebisov_12</t>
  </si>
  <si>
    <t>Bardejov_1</t>
  </si>
  <si>
    <t>Bardejov_2</t>
  </si>
  <si>
    <t>Bardejov_3</t>
  </si>
  <si>
    <t>Bardejov_4</t>
  </si>
  <si>
    <t>Bardejov_5</t>
  </si>
  <si>
    <t>Bardejov_6</t>
  </si>
  <si>
    <t>Bardejov_7</t>
  </si>
  <si>
    <t>Bardejov_8</t>
  </si>
  <si>
    <t>Bardejov_9</t>
  </si>
  <si>
    <t>Bardejov_10</t>
  </si>
  <si>
    <t>Bardejov_11</t>
  </si>
  <si>
    <t>Bardejov_12</t>
  </si>
  <si>
    <t>Presov_1</t>
  </si>
  <si>
    <t>Presov_2</t>
  </si>
  <si>
    <t>Presov_3</t>
  </si>
  <si>
    <t>Presov_4</t>
  </si>
  <si>
    <t>Presov_5</t>
  </si>
  <si>
    <t>Presov_6</t>
  </si>
  <si>
    <t>Presov_7</t>
  </si>
  <si>
    <t>Presov_8</t>
  </si>
  <si>
    <t>Presov_9</t>
  </si>
  <si>
    <t>Presov_10</t>
  </si>
  <si>
    <t>Presov_11</t>
  </si>
  <si>
    <t>Presov_12</t>
  </si>
  <si>
    <t>Bratislava-letisko_1</t>
  </si>
  <si>
    <t>Bratislava-letisko_2</t>
  </si>
  <si>
    <t>Bratislava-letisko_3</t>
  </si>
  <si>
    <t>Bratislava-letisko_4</t>
  </si>
  <si>
    <t>Bratislava-letisko_5</t>
  </si>
  <si>
    <t>Bratislava-letisko_6</t>
  </si>
  <si>
    <t>Bratislava-letisko_7</t>
  </si>
  <si>
    <t>Bratislava-letisko_8</t>
  </si>
  <si>
    <t>Bratislava-letisko_9</t>
  </si>
  <si>
    <t>Bratislava-letisko_10</t>
  </si>
  <si>
    <t>Bratislava-letisko_11</t>
  </si>
  <si>
    <t>Bratislava-letisko_12</t>
  </si>
  <si>
    <t>Košice-letisko_1</t>
  </si>
  <si>
    <t>Košice-letisko_2</t>
  </si>
  <si>
    <t>Košice-letisko_3</t>
  </si>
  <si>
    <t>Košice-letisko_4</t>
  </si>
  <si>
    <t>Košice-letisko_5</t>
  </si>
  <si>
    <t>Košice-letisko_6</t>
  </si>
  <si>
    <t>Košice-letisko_7</t>
  </si>
  <si>
    <t>Košice-letisko_8</t>
  </si>
  <si>
    <t>Košice-letisko_9</t>
  </si>
  <si>
    <t>Košice-letisko_10</t>
  </si>
  <si>
    <t>Košice-letisko_11</t>
  </si>
  <si>
    <t>Košice-letisko_12</t>
  </si>
  <si>
    <t>Liptovský Mikuláš_1</t>
  </si>
  <si>
    <t>Liptovský Mikuláš_2</t>
  </si>
  <si>
    <t>Liptovský Mikuláš_3</t>
  </si>
  <si>
    <t>Liptovský Mikuláš_4</t>
  </si>
  <si>
    <t>Liptovský Mikuláš_5</t>
  </si>
  <si>
    <t>Liptovský Mikuláš_6</t>
  </si>
  <si>
    <t>Liptovský Mikuláš_7</t>
  </si>
  <si>
    <t>Liptovský Mikuláš_8</t>
  </si>
  <si>
    <t>Liptovský Mikuláš_9</t>
  </si>
  <si>
    <t>Liptovský Mikuláš_10</t>
  </si>
  <si>
    <t>Liptovský Mikuláš_11</t>
  </si>
  <si>
    <t>Liptovský Mikuláš_12</t>
  </si>
  <si>
    <t>MESAČNÝ VÝPOČET POTREBY TEPLA NA VYKUROVANIE</t>
  </si>
  <si>
    <t>Metóda: STN EN ISO 13790 - Mesačná metóda (Vykurovacie obdobie)</t>
  </si>
  <si>
    <t>VSTUPNÉ HODNOTY (VYKUROVANIE):</t>
  </si>
  <si>
    <t>Ap - Celková podlahová plocha [m²]</t>
  </si>
  <si>
    <t>V  - Obostavaný objem budovy [m³]</t>
  </si>
  <si>
    <t>θi,adj - Upravená vnútorná teplota [°C]</t>
  </si>
  <si>
    <t>Tau (časová konštanta) [h]:</t>
  </si>
  <si>
    <t>H  - Celková merná tepelná strata [W/K]</t>
  </si>
  <si>
    <t>Numerický parameter a:</t>
  </si>
  <si>
    <t>q  - Výkon vnútorného zdroja [W/m²]</t>
  </si>
  <si>
    <t>Cm - Vnútorná tepelná kapacita [J/K]</t>
  </si>
  <si>
    <t>Dni</t>
  </si>
  <si>
    <t>θe [°C]</t>
  </si>
  <si>
    <t>Q_loss [kWh]</t>
  </si>
  <si>
    <t>Qi [kWh]</t>
  </si>
  <si>
    <t>Qs [kWh]</t>
  </si>
  <si>
    <t>Q_gain [kWh]</t>
  </si>
  <si>
    <t>γ [-]</t>
  </si>
  <si>
    <t>η [-]</t>
  </si>
  <si>
    <t>Q_H,nd [kWh]</t>
  </si>
  <si>
    <t>Vykurovanie?</t>
  </si>
  <si>
    <t>Jan</t>
  </si>
  <si>
    <t>Feb</t>
  </si>
  <si>
    <t>Mar</t>
  </si>
  <si>
    <t>Apr</t>
  </si>
  <si>
    <t>Máj</t>
  </si>
  <si>
    <t>Jún</t>
  </si>
  <si>
    <t>Júl</t>
  </si>
  <si>
    <t>Aug</t>
  </si>
  <si>
    <t>Sep</t>
  </si>
  <si>
    <t>Okt</t>
  </si>
  <si>
    <t>Nov</t>
  </si>
  <si>
    <t>Dec</t>
  </si>
  <si>
    <t>SÚČET</t>
  </si>
  <si>
    <t>Acs Juh:</t>
  </si>
  <si>
    <t>Acs Sever:</t>
  </si>
  <si>
    <t>Acs V+Z:</t>
  </si>
  <si>
    <t>Acs JZ+JV:</t>
  </si>
  <si>
    <t>Acs SZ+SV:</t>
  </si>
  <si>
    <t>Acs Horiz:</t>
  </si>
  <si>
    <t>MESAČNÝ VÝPOČET POTREBY CHLADU NA CHLADENIE</t>
  </si>
  <si>
    <t>Metóda: STN EN ISO 13790 - Mesačná metóda (Chladiace obdobie)</t>
  </si>
  <si>
    <t>VSTUPNÉ HODNOTY (CHLADENIE):</t>
  </si>
  <si>
    <t>θint,C - Požadovaná vnútorná teplota chladenia [°C]</t>
  </si>
  <si>
    <t>Tau_C (časová konštanta) [h]:</t>
  </si>
  <si>
    <t>H_C - Merná tepelná strata chladenia [W/K]</t>
  </si>
  <si>
    <t>Numerický parameter a_C:</t>
  </si>
  <si>
    <t>Q_C,ht [kWh]</t>
  </si>
  <si>
    <t>Qi,C [kWh]</t>
  </si>
  <si>
    <t>Qs,C [kWh]</t>
  </si>
  <si>
    <t>Q_C,gn [kWh]</t>
  </si>
  <si>
    <t>γ_C [-]</t>
  </si>
  <si>
    <t>η_C,ls [-]</t>
  </si>
  <si>
    <t>Q_C,nd [kWh]</t>
  </si>
  <si>
    <t>Chladenie?</t>
  </si>
  <si>
    <t>Q_sol,C letné:</t>
  </si>
  <si>
    <t>ENERGETICKÁ BILANCIA A NÁVRHOVÉ PARAMETRE ZDROJOV TEPLA A CHLADU</t>
  </si>
  <si>
    <t>Podľa STN EN ISO 13790, STN 73 0540 a STN EN 12831 (Mesačná metóda a dimenzovanie HVAC)</t>
  </si>
  <si>
    <t>UKAZOVATEĽ BUDOVY</t>
  </si>
  <si>
    <t>HODNOTA</t>
  </si>
  <si>
    <t>JEDNOTKA</t>
  </si>
  <si>
    <t>POPIS / NORMA</t>
  </si>
  <si>
    <t>Lokalita budovy</t>
  </si>
  <si>
    <t>-</t>
  </si>
  <si>
    <t>Vybraná klimatická oblasť SR</t>
  </si>
  <si>
    <t>Celková podlahová plocha (Ap)</t>
  </si>
  <si>
    <t>Vykurovaná a chladená plocha budovy</t>
  </si>
  <si>
    <t>Obostavaný objem (V)</t>
  </si>
  <si>
    <t>Geometrický objem budovy</t>
  </si>
  <si>
    <t>Faktor tvaru budovy (A/V)</t>
  </si>
  <si>
    <t>Kompaktnosť tvaru budovy</t>
  </si>
  <si>
    <t>Celková merná strata (H)</t>
  </si>
  <si>
    <t>Straty prechodom tepla + vetraním</t>
  </si>
  <si>
    <t>Počet dennostupňov (D)</t>
  </si>
  <si>
    <t>K·deň</t>
  </si>
  <si>
    <t>Vykurovacie obdobie</t>
  </si>
  <si>
    <t>Potreba tepla na vykurovanie (Q_H,nd)</t>
  </si>
  <si>
    <t>Ročná energetická potreba tepla</t>
  </si>
  <si>
    <t>Merná potreba tepla (q_H)</t>
  </si>
  <si>
    <t>kWh/(m²·a)</t>
  </si>
  <si>
    <t>Merný ukazovateľ vykurovania</t>
  </si>
  <si>
    <t>Potreba chladu na chladenie (Q_C,nd)</t>
  </si>
  <si>
    <t>Ročná energetická potreba chladu</t>
  </si>
  <si>
    <t>Merná potreba chladu (q_C)</t>
  </si>
  <si>
    <t>Merný ukazovateľ chladenia</t>
  </si>
  <si>
    <t>1. NÁVRHOVÉ PARAMETRE PRE ZDROJ TEPLA (VYKUROVANIE)</t>
  </si>
  <si>
    <t>Parameter pre dimenzovanie</t>
  </si>
  <si>
    <t>Hodnota</t>
  </si>
  <si>
    <t>Jedn.</t>
  </si>
  <si>
    <t>Fyzikálny význam / Zdroj vzorca</t>
  </si>
  <si>
    <t>Výpočtová vonkajšia teplota v zime (θe)</t>
  </si>
  <si>
    <t>Normatívna teplota najchladnejšieho dňa (STN 73 0540-3)</t>
  </si>
  <si>
    <t>Výpočtová vnútorná teplota vykurovania (θi)</t>
  </si>
  <si>
    <t>Požadovaná vnútorná teplota priestorov</t>
  </si>
  <si>
    <t>Návrhový teplotný rozdiel (Δθ_H = θi - θe)</t>
  </si>
  <si>
    <t>K</t>
  </si>
  <si>
    <t>Teplotný spád pre dimenzovanie vykurovacieho výkonu</t>
  </si>
  <si>
    <t>Merná tepelná strata prechodom tepla (Ht)</t>
  </si>
  <si>
    <t>Tepelná priepustnosť obvodových konštrukcií</t>
  </si>
  <si>
    <t>Merná tepelná strata vetraním (Hv)</t>
  </si>
  <si>
    <t>Tepelná priepustnosť výmenou vzduchu</t>
  </si>
  <si>
    <t>Celková merná tepelná strata (H = Ht + Hv)</t>
  </si>
  <si>
    <t>Celková merná strata budovy</t>
  </si>
  <si>
    <t>Návrhová strata prechodom tepla (Φ_T)</t>
  </si>
  <si>
    <t>kW</t>
  </si>
  <si>
    <t>Výkon potrebný na krytie strát konštrukciami</t>
  </si>
  <si>
    <t>Návrhová strata vetraním (Φ_V)</t>
  </si>
  <si>
    <t>Výkon potrebný na krytie strát vetraním</t>
  </si>
  <si>
    <t>🔥 NÁVRHOVÝ TEPELNÝ VÝKON ZDROJA TEPLA (Φ_HL)</t>
  </si>
  <si>
    <t>Celkový inštalovaný výkon kotla / tepelného čerpadla</t>
  </si>
  <si>
    <t>Merný inštalovaný výkon vykurovania (p_H)</t>
  </si>
  <si>
    <t>Špecifický výkon na jednotku podlahovej plochy</t>
  </si>
  <si>
    <t>Ekvivalentný čas plnej prevádzky zdroja (t_eq,H)</t>
  </si>
  <si>
    <t>h/a</t>
  </si>
  <si>
    <t>Počet plných prevádzkových hodín zdroja tepla ročne</t>
  </si>
  <si>
    <t>2. NÁVRHOVÉ PARAMETRE PRE ZDROJ CHLADU (CHLADENIE)</t>
  </si>
  <si>
    <t>Výpočtová vonkajšia teplota v lete (θe,C)</t>
  </si>
  <si>
    <t>Letná návrhová vonkajšia teplota (STN 73 0540-3)</t>
  </si>
  <si>
    <t>Požadovaná vnútorná teplota chladenia (θint,C)</t>
  </si>
  <si>
    <t>Požadovaná vnútorná teplota pri chladení</t>
  </si>
  <si>
    <t>Návrhový teplotný rozdiel (Δθ_C = θe,C - θint,C)</t>
  </si>
  <si>
    <t>Kladný teplotný spád prenikajúci do budovy</t>
  </si>
  <si>
    <t>Tepelná záťaž obálkou a vetraním (Φ_env,C)</t>
  </si>
  <si>
    <t>Tepelný príkon prenikajúci cez steny, strechu a vetranie</t>
  </si>
  <si>
    <t>Špičková solárna tepelná záťaž (Φ_sol,C)</t>
  </si>
  <si>
    <t>Okamžitý špičkový solárny príkon cez okná a strechu</t>
  </si>
  <si>
    <t>Vnútorná tepelná záťaž (Φ_int,C)</t>
  </si>
  <si>
    <t>Tepelný zisk od osôb, osvetlenia a technológií</t>
  </si>
  <si>
    <t>❄️ NÁVRHOVÝ CHLADIACI VÝKON ZDROJA CHLADU (Φ_CL)</t>
  </si>
  <si>
    <t>Celkový inštalovaný chladiaci výkon chilleru / VRF / TČ</t>
  </si>
  <si>
    <t>Merný inštalovaný výkon chladenia (p_C)</t>
  </si>
  <si>
    <t>Špecifický chladiaci výkon na m² podlahovej plochy</t>
  </si>
  <si>
    <t>Ekvivalentný čas plnej prevádzky chladenia (t_eq,C)</t>
  </si>
  <si>
    <t>Počet plných prevádzkových hodín chladiaceho zdroja</t>
  </si>
  <si>
    <t>MESAČNÝ PREHĽAD ENERGETICKEJ BILANCIE</t>
  </si>
  <si>
    <t>Straty Q_loss [kWh]</t>
  </si>
  <si>
    <t>Zisky Q_gain [kWh]</t>
  </si>
  <si>
    <t>Vykurovanie Q_H,nd [kWh]</t>
  </si>
  <si>
    <t>Chladenie Q_C,nd [kWh]</t>
  </si>
  <si>
    <t>ROZDELENIE TEPELNÝCH STRÁT PODĽA KONŠTRUKCIÍ</t>
  </si>
  <si>
    <t>Konštrukcia / Zložka</t>
  </si>
  <si>
    <t>Merná strata H_i [W/K]</t>
  </si>
  <si>
    <t>Obvodové steny</t>
  </si>
  <si>
    <t>Strešný plášť</t>
  </si>
  <si>
    <t>Podlaha / Spodná stavba</t>
  </si>
  <si>
    <t>Tepelné mosty</t>
  </si>
  <si>
    <t>Vetranie</t>
  </si>
  <si>
    <t>POROVNANIE INŠTALOVANÝCH VÝKONOV ZDROJOV (HVAC)</t>
  </si>
  <si>
    <t>Typ zdroja</t>
  </si>
  <si>
    <t>Návrhový výkon [kW]</t>
  </si>
  <si>
    <t>Zdroj tepla (Vykurovanie)</t>
  </si>
  <si>
    <t>Zdroj chladu (Chladenie)</t>
  </si>
  <si>
    <t>3 - Administratívna budova</t>
  </si>
  <si>
    <t xml:space="preserve">FaxCopy a.s.
</t>
  </si>
  <si>
    <t>Domkárska 15</t>
  </si>
  <si>
    <t xml:space="preserve"> Bratislava - Ružinov</t>
  </si>
  <si>
    <t>Bratislava</t>
  </si>
  <si>
    <t>Typ, konšt. systém, stavebná sústava</t>
  </si>
  <si>
    <t>Tep. Vnútorné zisky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</si>
</sst>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#,##0.0"/>
    <numFmt numFmtId="167" formatCode="0.000"/>
  </numFmts>
  <fonts count="23" x14ac:knownFonts="1">
    <font>
      <sz val="10"/>
      <name val="Arial CE"/>
      <charset val="238"/>
    </font>
    <font>
      <sz val="10"/>
      <name val="Arial CE"/>
      <charset val="238"/>
    </font>
    <font>
      <sz val="10"/>
      <name val="Times New Roman CE"/>
    </font>
    <font>
      <sz val="10"/>
      <name val="Arial"/>
      <family val="2"/>
      <charset val="238"/>
    </font>
    <font>
      <b/>
      <sz val="10"/>
      <name val="Arial CE"/>
      <charset val="238"/>
    </font>
    <font>
      <sz val="9"/>
      <name val="Arial CE"/>
      <charset val="238"/>
    </font>
    <font>
      <b/>
      <sz val="10"/>
      <name val="Arial CE"/>
    </font>
    <font>
      <b/>
      <sz val="10"/>
      <color rgb="FFFF0000"/>
      <name val="Arial CE"/>
    </font>
    <font>
      <b/>
      <i/>
      <sz val="10"/>
      <color rgb="FF1F4E79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4"/>
      <color rgb="FF1F497D"/>
      <name val="Calibri"/>
    </font>
    <font>
      <b/>
      <sz val="11"/>
      <color rgb="FF595959"/>
      <name val="Calibri"/>
    </font>
    <font>
      <b/>
      <sz val="11"/>
      <name val="Calibri"/>
    </font>
    <font>
      <sz val="11"/>
      <name val="Calibri"/>
    </font>
    <font>
      <b/>
      <sz val="9"/>
      <name val="Calibri"/>
    </font>
    <font>
      <b/>
      <sz val="15"/>
      <color rgb="FF1F497D"/>
      <name val="Calibri"/>
    </font>
    <font>
      <b/>
      <sz val="12"/>
      <color rgb="FFB22222"/>
      <name val="Calibri"/>
    </font>
    <font>
      <b/>
      <sz val="11"/>
      <color rgb="FF8B0000"/>
      <name val="Calibri"/>
    </font>
    <font>
      <b/>
      <sz val="12"/>
      <color rgb="FF8B0000"/>
      <name val="Calibri"/>
    </font>
    <font>
      <b/>
      <sz val="12"/>
      <color rgb="FF1F4E79"/>
      <name val="Calibri"/>
    </font>
    <font>
      <b/>
      <sz val="11"/>
      <color rgb="FF00008B"/>
      <name val="Calibri"/>
    </font>
    <font>
      <b/>
      <sz val="12"/>
      <color rgb="FF00008B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4057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205493"/>
      </patternFill>
    </fill>
    <fill>
      <patternFill patternType="solid">
        <fgColor rgb="FFC6D9F1"/>
      </patternFill>
    </fill>
    <fill>
      <patternFill patternType="solid">
        <fgColor rgb="FFB22222"/>
      </patternFill>
    </fill>
    <fill>
      <patternFill patternType="solid">
        <fgColor rgb="FFFADBD8"/>
      </patternFill>
    </fill>
    <fill>
      <patternFill patternType="solid">
        <fgColor rgb="FFD4E6F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5">
    <xf numFmtId="0" fontId="0" fillId="0" borderId="0"/>
    <xf numFmtId="0" fontId="2" fillId="0" borderId="0"/>
    <xf numFmtId="165" fontId="1" fillId="0" borderId="0"/>
    <xf numFmtId="0" fontId="3" fillId="0" borderId="0"/>
    <xf numFmtId="0" fontId="3" fillId="0" borderId="0">
      <alignment vertical="top"/>
    </xf>
  </cellStyleXfs>
  <cellXfs count="15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11" xfId="0" applyBorder="1" applyAlignment="1">
      <alignment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 textRotation="90" wrapText="1"/>
    </xf>
    <xf numFmtId="0" fontId="0" fillId="3" borderId="7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13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2" fontId="0" fillId="3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" fontId="0" fillId="3" borderId="7" xfId="0" applyNumberForma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2" fontId="0" fillId="3" borderId="14" xfId="0" applyNumberForma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0" fillId="3" borderId="0" xfId="0" applyFill="1" applyAlignment="1">
      <alignment horizontal="left" vertical="center"/>
    </xf>
    <xf numFmtId="17" fontId="0" fillId="3" borderId="0" xfId="0" applyNumberFormat="1" applyFill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5" borderId="0" xfId="0" applyFont="1" applyFill="1"/>
    <xf numFmtId="0" fontId="6" fillId="0" borderId="0" xfId="0" applyFont="1"/>
    <xf numFmtId="0" fontId="10" fillId="0" borderId="0" xfId="0" applyFont="1"/>
    <xf numFmtId="0" fontId="8" fillId="0" borderId="0" xfId="0" applyFont="1"/>
    <xf numFmtId="0" fontId="9" fillId="7" borderId="0" xfId="0" applyFont="1" applyFill="1"/>
    <xf numFmtId="0" fontId="9" fillId="7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4" borderId="0" xfId="0" applyFont="1" applyFill="1" applyAlignment="1">
      <alignment horizontal="center" vertical="center"/>
    </xf>
    <xf numFmtId="0" fontId="0" fillId="0" borderId="16" xfId="0" applyBorder="1" applyAlignment="1">
      <alignment horizontal="center"/>
    </xf>
    <xf numFmtId="165" fontId="0" fillId="0" borderId="16" xfId="0" applyNumberFormat="1" applyBorder="1" applyAlignment="1">
      <alignment horizontal="right"/>
    </xf>
    <xf numFmtId="166" fontId="0" fillId="0" borderId="16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0" fontId="13" fillId="8" borderId="17" xfId="0" applyFont="1" applyFill="1" applyBorder="1"/>
    <xf numFmtId="166" fontId="13" fillId="8" borderId="17" xfId="0" applyNumberFormat="1" applyFont="1" applyFill="1" applyBorder="1"/>
    <xf numFmtId="167" fontId="13" fillId="8" borderId="17" xfId="0" applyNumberFormat="1" applyFont="1" applyFill="1" applyBorder="1"/>
    <xf numFmtId="0" fontId="9" fillId="9" borderId="0" xfId="0" applyFont="1" applyFill="1" applyAlignment="1">
      <alignment horizontal="center" vertical="center"/>
    </xf>
    <xf numFmtId="0" fontId="15" fillId="0" borderId="0" xfId="0" applyFont="1"/>
    <xf numFmtId="0" fontId="13" fillId="10" borderId="17" xfId="0" applyFont="1" applyFill="1" applyBorder="1"/>
    <xf numFmtId="166" fontId="13" fillId="10" borderId="17" xfId="0" applyNumberFormat="1" applyFont="1" applyFill="1" applyBorder="1"/>
    <xf numFmtId="167" fontId="13" fillId="10" borderId="17" xfId="0" applyNumberFormat="1" applyFont="1" applyFill="1" applyBorder="1"/>
    <xf numFmtId="0" fontId="16" fillId="0" borderId="0" xfId="0" applyFont="1"/>
    <xf numFmtId="0" fontId="13" fillId="0" borderId="16" xfId="0" applyFont="1" applyBorder="1"/>
    <xf numFmtId="0" fontId="13" fillId="0" borderId="16" xfId="0" applyFont="1" applyBorder="1" applyAlignment="1">
      <alignment horizontal="right"/>
    </xf>
    <xf numFmtId="0" fontId="14" fillId="0" borderId="16" xfId="0" applyFont="1" applyBorder="1"/>
    <xf numFmtId="166" fontId="13" fillId="0" borderId="16" xfId="0" applyNumberFormat="1" applyFont="1" applyBorder="1" applyAlignment="1">
      <alignment horizontal="right"/>
    </xf>
    <xf numFmtId="2" fontId="13" fillId="0" borderId="16" xfId="0" applyNumberFormat="1" applyFont="1" applyBorder="1" applyAlignment="1">
      <alignment horizontal="right"/>
    </xf>
    <xf numFmtId="0" fontId="17" fillId="0" borderId="0" xfId="0" applyFont="1"/>
    <xf numFmtId="0" fontId="9" fillId="11" borderId="0" xfId="0" applyFont="1" applyFill="1" applyAlignment="1">
      <alignment horizontal="center" vertical="center"/>
    </xf>
    <xf numFmtId="0" fontId="0" fillId="0" borderId="16" xfId="0" applyBorder="1"/>
    <xf numFmtId="2" fontId="0" fillId="0" borderId="16" xfId="0" applyNumberFormat="1" applyBorder="1" applyAlignment="1">
      <alignment horizontal="right"/>
    </xf>
    <xf numFmtId="0" fontId="18" fillId="12" borderId="16" xfId="0" applyFont="1" applyFill="1" applyBorder="1"/>
    <xf numFmtId="2" fontId="19" fillId="12" borderId="16" xfId="0" applyNumberFormat="1" applyFont="1" applyFill="1" applyBorder="1" applyAlignment="1">
      <alignment horizontal="right"/>
    </xf>
    <xf numFmtId="0" fontId="0" fillId="12" borderId="16" xfId="0" applyFill="1" applyBorder="1" applyAlignment="1">
      <alignment horizontal="center"/>
    </xf>
    <xf numFmtId="0" fontId="0" fillId="12" borderId="16" xfId="0" applyFill="1" applyBorder="1"/>
    <xf numFmtId="3" fontId="0" fillId="0" borderId="16" xfId="0" applyNumberFormat="1" applyBorder="1" applyAlignment="1">
      <alignment horizontal="right"/>
    </xf>
    <xf numFmtId="0" fontId="20" fillId="0" borderId="0" xfId="0" applyFont="1"/>
    <xf numFmtId="0" fontId="9" fillId="7" borderId="0" xfId="0" applyFont="1" applyFill="1" applyAlignment="1">
      <alignment horizontal="center" vertical="center"/>
    </xf>
    <xf numFmtId="0" fontId="21" fillId="13" borderId="16" xfId="0" applyFont="1" applyFill="1" applyBorder="1"/>
    <xf numFmtId="2" fontId="22" fillId="13" borderId="16" xfId="0" applyNumberFormat="1" applyFont="1" applyFill="1" applyBorder="1" applyAlignment="1">
      <alignment horizontal="right"/>
    </xf>
    <xf numFmtId="0" fontId="0" fillId="13" borderId="16" xfId="0" applyFill="1" applyBorder="1" applyAlignment="1">
      <alignment horizontal="center"/>
    </xf>
    <xf numFmtId="0" fontId="0" fillId="13" borderId="16" xfId="0" applyFill="1" applyBorder="1"/>
    <xf numFmtId="0" fontId="9" fillId="4" borderId="0" xfId="0" applyFont="1" applyFill="1" applyAlignment="1">
      <alignment horizontal="center"/>
    </xf>
    <xf numFmtId="0" fontId="9" fillId="4" borderId="0" xfId="0" applyFont="1" applyFill="1"/>
    <xf numFmtId="0" fontId="0" fillId="3" borderId="4" xfId="0" applyFill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left" vertical="center"/>
    </xf>
    <xf numFmtId="0" fontId="0" fillId="0" borderId="0" xfId="0"/>
    <xf numFmtId="0" fontId="0" fillId="3" borderId="4" xfId="0" applyFill="1" applyBorder="1" applyAlignment="1">
      <alignment horizontal="left" vertical="center"/>
    </xf>
    <xf numFmtId="0" fontId="0" fillId="0" borderId="14" xfId="0" applyBorder="1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textRotation="90" wrapText="1"/>
    </xf>
    <xf numFmtId="0" fontId="0" fillId="0" borderId="8" xfId="0" applyBorder="1"/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4" xfId="0" applyBorder="1" applyAlignment="1">
      <alignment horizontal="center" vertical="center" wrapText="1"/>
    </xf>
    <xf numFmtId="0" fontId="0" fillId="0" borderId="15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0" borderId="4" xfId="0" applyBorder="1" applyAlignment="1">
      <alignment horizontal="center" vertical="center" textRotation="90" wrapText="1"/>
    </xf>
    <xf numFmtId="0" fontId="0" fillId="0" borderId="12" xfId="0" applyBorder="1"/>
    <xf numFmtId="4" fontId="0" fillId="3" borderId="4" xfId="0" applyNumberFormat="1" applyFill="1" applyBorder="1" applyAlignment="1">
      <alignment horizontal="left" vertical="center"/>
    </xf>
    <xf numFmtId="2" fontId="0" fillId="3" borderId="4" xfId="0" applyNumberForma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/>
    </xf>
    <xf numFmtId="0" fontId="0" fillId="0" borderId="1" xfId="0" applyBorder="1"/>
    <xf numFmtId="0" fontId="0" fillId="0" borderId="14" xfId="0" applyBorder="1" applyAlignment="1">
      <alignment horizontal="center" vertical="center" textRotation="90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2" fontId="0" fillId="0" borderId="4" xfId="0" applyNumberForma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/>
    </xf>
    <xf numFmtId="0" fontId="0" fillId="0" borderId="5" xfId="0" applyBorder="1" applyAlignment="1">
      <alignment horizontal="center" wrapText="1"/>
    </xf>
    <xf numFmtId="0" fontId="4" fillId="2" borderId="3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3" borderId="7" xfId="0" applyFill="1" applyBorder="1" applyAlignment="1">
      <alignment horizontal="left" vertical="center" wrapText="1"/>
    </xf>
  </cellXfs>
  <cellStyles count="5">
    <cellStyle name="měny 2" xfId="2" xr:uid="{00000000-0005-0000-0000-000002000000}"/>
    <cellStyle name="Normal" xfId="0" builtinId="0"/>
    <cellStyle name="Normálna 2" xfId="4" xr:uid="{00000000-0005-0000-0000-000004000000}"/>
    <cellStyle name="normálne 2" xfId="3" xr:uid="{00000000-0005-0000-0000-000003000000}"/>
    <cellStyle name="normální_C-STN 73 0540-energia-ENGL-Drobneho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sk-SK"/>
              <a:t>Mesačná potreba energie na vykurovanie a chladenie [kWh]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'Vizualizácia výsledkov'!$D$46</c:f>
              <c:strCache>
                <c:ptCount val="1"/>
                <c:pt idx="0">
                  <c:v>Vykurovanie Q_H,nd [kWh]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'Vizualizácia výsledkov'!$A$47:$A$58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'Vizualizácia výsledkov'!$D$47:$D$58</c:f>
              <c:numCache>
                <c:formatCode>#\ ##0.0</c:formatCode>
                <c:ptCount val="12"/>
                <c:pt idx="0">
                  <c:v>24806.741507157934</c:v>
                </c:pt>
                <c:pt idx="1">
                  <c:v>17467.461912885283</c:v>
                </c:pt>
                <c:pt idx="2">
                  <c:v>10070.913559579634</c:v>
                </c:pt>
                <c:pt idx="3">
                  <c:v>1911.0993277083016</c:v>
                </c:pt>
                <c:pt idx="4">
                  <c:v>39.491109989146025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94.237625886775277</c:v>
                </c:pt>
                <c:pt idx="9">
                  <c:v>4388.3122415396665</c:v>
                </c:pt>
                <c:pt idx="10">
                  <c:v>13781.954670329698</c:v>
                </c:pt>
                <c:pt idx="11">
                  <c:v>22447.880514618657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3-4E80-92BB-D7D9015F1B10}"/>
            </c:ext>
          </c:extLst>
        </c:ser>
        <c:ser>
          <c:idx val="1"/>
          <c:order val="1"/>
          <c:tx>
            <c:strRef>
              <c:f>'Vizualizácia výsledkov'!$E$46</c:f>
              <c:strCache>
                <c:ptCount val="1"/>
                <c:pt idx="0">
                  <c:v>Chladenie Q_C,nd [kWh]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'Vizualizácia výsledkov'!$A$47:$A$58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'Vizualizácia výsledkov'!$E$47:$E$58</c:f>
              <c:numCache>
                <c:formatCode>#\ 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5882.6174873223081</c:v>
                </c:pt>
                <c:pt idx="5">
                  <c:v>9809.3792778493971</c:v>
                </c:pt>
                <c:pt idx="6">
                  <c:v>11771.305519268562</c:v>
                </c:pt>
                <c:pt idx="7">
                  <c:v>9346.9029235525759</c:v>
                </c:pt>
                <c:pt idx="8">
                  <c:v>3111.1274216532929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3-4E80-92BB-D7D9015F1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Mesiac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Potreba energie [kWh]</a:t>
                </a:r>
              </a:p>
            </c:rich>
          </c:tx>
          <c:overlay val="1"/>
        </c:title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500071769168731"/>
          <c:y val="4.9139478056842059E-2"/>
          <c:w val="0.21927580790276446"/>
          <c:h val="0.1031467546026364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sk-SK"/>
              <a:t>Návrhový výkon zdroja tepla a chladu [kW]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'Vizualizácia výsledkov'!$B$72</c:f>
              <c:strCache>
                <c:ptCount val="1"/>
                <c:pt idx="0">
                  <c:v>Návrhový výkon [kW]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'Vizualizácia výsledkov'!$A$73:$A$74</c:f>
              <c:strCache>
                <c:ptCount val="2"/>
                <c:pt idx="0">
                  <c:v>Zdroj tepla (Vykurovanie)</c:v>
                </c:pt>
                <c:pt idx="1">
                  <c:v>Zdroj chladu (Chladenie)</c:v>
                </c:pt>
              </c:strCache>
            </c:strRef>
          </c:cat>
          <c:val>
            <c:numRef>
              <c:f>'Vizualizácia výsledkov'!$B$73:$B$74</c:f>
              <c:numCache>
                <c:formatCode>0.00</c:formatCode>
                <c:ptCount val="2"/>
                <c:pt idx="0">
                  <c:v>71.771307993018098</c:v>
                </c:pt>
                <c:pt idx="1">
                  <c:v>125.52876594552022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7-4C4E-AEF9-69C0B62C24C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Inštalovaný výkon [kW]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sk-SK"/>
              <a:t>Mesačné tepelné straty a zisky budovy [kWh]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'Vizualizácia výsledkov'!$B$46</c:f>
              <c:strCache>
                <c:ptCount val="1"/>
                <c:pt idx="0">
                  <c:v>Straty Q_loss [kWh]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'Vizualizácia výsledkov'!$A$47:$A$58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'Vizualizácia výsledkov'!$B$47:$B$58</c:f>
              <c:numCache>
                <c:formatCode>#\ ##0.0</c:formatCode>
                <c:ptCount val="12"/>
                <c:pt idx="0">
                  <c:v>34505.348201187328</c:v>
                </c:pt>
                <c:pt idx="1">
                  <c:v>27639.084404041594</c:v>
                </c:pt>
                <c:pt idx="2">
                  <c:v>22389.203071037977</c:v>
                </c:pt>
                <c:pt idx="3">
                  <c:v>12720.46880426449</c:v>
                </c:pt>
                <c:pt idx="4">
                  <c:v>4704.178611094374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4941.6629236328226</c:v>
                </c:pt>
                <c:pt idx="9">
                  <c:v>14408.807792678312</c:v>
                </c:pt>
                <c:pt idx="10">
                  <c:v>23168.056044564277</c:v>
                </c:pt>
                <c:pt idx="11">
                  <c:v>31863.876981812282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0-41E3-AB5F-CCE2F0FB8A82}"/>
            </c:ext>
          </c:extLst>
        </c:ser>
        <c:ser>
          <c:idx val="1"/>
          <c:order val="1"/>
          <c:tx>
            <c:strRef>
              <c:f>'Vizualizácia výsledkov'!$C$46</c:f>
              <c:strCache>
                <c:ptCount val="1"/>
                <c:pt idx="0">
                  <c:v>Zisky Q_gain [kWh]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'Vizualizácia výsledkov'!$A$47:$A$58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'Vizualizácia výsledkov'!$C$47:$C$58</c:f>
              <c:numCache>
                <c:formatCode>#\ ##0.0</c:formatCode>
                <c:ptCount val="12"/>
                <c:pt idx="0">
                  <c:v>9812.4208776000014</c:v>
                </c:pt>
                <c:pt idx="1">
                  <c:v>10442.099085</c:v>
                </c:pt>
                <c:pt idx="2">
                  <c:v>13456.8978984</c:v>
                </c:pt>
                <c:pt idx="3">
                  <c:v>16220.6660022</c:v>
                </c:pt>
                <c:pt idx="4">
                  <c:v>18472.719513600001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14604.366321599999</c:v>
                </c:pt>
                <c:pt idx="9">
                  <c:v>12092.595286200001</c:v>
                </c:pt>
                <c:pt idx="10">
                  <c:v>9720.4282691999997</c:v>
                </c:pt>
                <c:pt idx="11">
                  <c:v>9544.6591548000015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0-41E3-AB5F-CCE2F0FB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Mesiac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Energia [kWh]</a:t>
                </a:r>
              </a:p>
            </c:rich>
          </c:tx>
          <c:overlay val="1"/>
        </c:title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sk-SK"/>
              <a:t>Rozdelenie merných tepelných strát H podľa konštrukcií [W/K]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'Vizualizácia výsledkov'!$B$62</c:f>
              <c:strCache>
                <c:ptCount val="1"/>
                <c:pt idx="0">
                  <c:v>Merná strata H_i [W/K]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0.18427906746031747"/>
                  <c:y val="4.3215277777777776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66-4AB9-ADC3-BFD1E5082A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'Vizualizácia výsledkov'!$A$63:$A$68</c:f>
              <c:strCache>
                <c:ptCount val="6"/>
                <c:pt idx="0">
                  <c:v>Obvodové steny</c:v>
                </c:pt>
                <c:pt idx="1">
                  <c:v>Strešný plášť</c:v>
                </c:pt>
                <c:pt idx="2">
                  <c:v>Podlaha / Spodná stavba</c:v>
                </c:pt>
                <c:pt idx="3">
                  <c:v>Okná a dvere</c:v>
                </c:pt>
                <c:pt idx="4">
                  <c:v>Tepelné mosty</c:v>
                </c:pt>
                <c:pt idx="5">
                  <c:v>Vetranie</c:v>
                </c:pt>
              </c:strCache>
            </c:strRef>
          </c:cat>
          <c:val>
            <c:numRef>
              <c:f>'Vizualizácia výsledkov'!$B$63:$B$68</c:f>
              <c:numCache>
                <c:formatCode>#\ ##0.0</c:formatCode>
                <c:ptCount val="6"/>
                <c:pt idx="0">
                  <c:v>390.68259999999998</c:v>
                </c:pt>
                <c:pt idx="1">
                  <c:v>87.600000000000009</c:v>
                </c:pt>
                <c:pt idx="2">
                  <c:v>397.53597964574487</c:v>
                </c:pt>
                <c:pt idx="3">
                  <c:v>426.51400000000007</c:v>
                </c:pt>
                <c:pt idx="4">
                  <c:v>295.69</c:v>
                </c:pt>
                <c:pt idx="5">
                  <c:v>717.18090400000006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6-4AB9-ADC3-BFD1E5082A6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-1</xdr:colOff>
      <xdr:row>3</xdr:row>
      <xdr:rowOff>-1</xdr:rowOff>
    </xdr:from>
    <xdr:ext cx="7405687" cy="44529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21</xdr:col>
      <xdr:colOff>285749</xdr:colOff>
      <xdr:row>44</xdr:row>
      <xdr:rowOff>119062</xdr:rowOff>
    </xdr:from>
    <xdr:ext cx="7096125" cy="66674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20</xdr:col>
      <xdr:colOff>476249</xdr:colOff>
      <xdr:row>4</xdr:row>
      <xdr:rowOff>47624</xdr:rowOff>
    </xdr:from>
    <xdr:ext cx="8239125" cy="516731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390525</xdr:colOff>
      <xdr:row>65</xdr:row>
      <xdr:rowOff>85724</xdr:rowOff>
    </xdr:from>
    <xdr:ext cx="6919912" cy="4986337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"/>
  <sheetViews>
    <sheetView tabSelected="1" topLeftCell="A56" zoomScale="115" zoomScaleNormal="115" workbookViewId="0">
      <selection activeCell="E75" sqref="E75"/>
    </sheetView>
  </sheetViews>
  <sheetFormatPr defaultRowHeight="12.75" x14ac:dyDescent="0.2"/>
  <cols>
    <col min="1" max="1" width="4.140625" customWidth="1"/>
    <col min="2" max="3" width="3.85546875" customWidth="1"/>
    <col min="4" max="4" width="12.140625" customWidth="1"/>
    <col min="5" max="5" width="12.85546875" customWidth="1"/>
    <col min="6" max="6" width="13" customWidth="1"/>
    <col min="7" max="7" width="8" customWidth="1"/>
    <col min="8" max="8" width="5.42578125" customWidth="1"/>
    <col min="9" max="9" width="16.140625" customWidth="1"/>
    <col min="10" max="10" width="12.7109375" customWidth="1"/>
  </cols>
  <sheetData>
    <row r="1" spans="1:10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3" t="s">
        <v>1</v>
      </c>
      <c r="B2" s="135" t="s">
        <v>2</v>
      </c>
      <c r="C2" s="119"/>
      <c r="D2" s="119"/>
      <c r="E2" s="119"/>
      <c r="F2" s="119"/>
      <c r="G2" s="119"/>
      <c r="H2" s="119"/>
      <c r="I2" s="119"/>
      <c r="J2" s="115"/>
    </row>
    <row r="3" spans="1:10" ht="25.5" x14ac:dyDescent="0.2">
      <c r="A3" s="3">
        <v>1</v>
      </c>
      <c r="B3" s="4"/>
      <c r="C3" s="6" t="s">
        <v>3</v>
      </c>
      <c r="D3" s="5"/>
      <c r="E3" s="6"/>
      <c r="F3" s="153" t="s">
        <v>502</v>
      </c>
      <c r="G3" s="7"/>
      <c r="H3" s="7"/>
      <c r="I3" s="7"/>
      <c r="J3" s="8"/>
    </row>
    <row r="4" spans="1:10" x14ac:dyDescent="0.2">
      <c r="A4" s="3">
        <v>2</v>
      </c>
      <c r="B4" s="9"/>
      <c r="C4" s="2" t="s">
        <v>4</v>
      </c>
      <c r="D4" s="5"/>
      <c r="E4" s="2"/>
      <c r="F4" s="63" t="s">
        <v>503</v>
      </c>
      <c r="G4" s="10"/>
      <c r="H4" s="10"/>
      <c r="I4" s="10"/>
      <c r="J4" s="11"/>
    </row>
    <row r="5" spans="1:10" x14ac:dyDescent="0.2">
      <c r="A5" s="3">
        <v>3</v>
      </c>
      <c r="B5" s="9"/>
      <c r="C5" s="2" t="s">
        <v>6</v>
      </c>
      <c r="D5" s="5"/>
      <c r="E5" s="2"/>
      <c r="F5" s="63" t="s">
        <v>504</v>
      </c>
      <c r="G5" s="10"/>
      <c r="H5" s="10"/>
      <c r="I5" s="10"/>
      <c r="J5" s="11"/>
    </row>
    <row r="6" spans="1:10" x14ac:dyDescent="0.2">
      <c r="A6" s="3">
        <v>4</v>
      </c>
      <c r="B6" s="9"/>
      <c r="C6" s="2" t="s">
        <v>7</v>
      </c>
      <c r="D6" s="5"/>
      <c r="E6" s="2"/>
      <c r="F6" s="63"/>
      <c r="G6" s="10"/>
      <c r="H6" s="10"/>
      <c r="I6" s="10"/>
      <c r="J6" s="11"/>
    </row>
    <row r="7" spans="1:10" x14ac:dyDescent="0.2">
      <c r="A7" s="3">
        <v>5</v>
      </c>
      <c r="B7" s="9"/>
      <c r="C7" s="2" t="s">
        <v>8</v>
      </c>
      <c r="D7" s="5"/>
      <c r="E7" s="2"/>
      <c r="F7" s="63" t="s">
        <v>505</v>
      </c>
      <c r="G7" s="10"/>
      <c r="H7" s="10"/>
      <c r="I7" s="10"/>
      <c r="J7" s="11"/>
    </row>
    <row r="8" spans="1:10" x14ac:dyDescent="0.2">
      <c r="A8" s="3">
        <v>6</v>
      </c>
      <c r="B8" s="12"/>
      <c r="C8" s="14" t="s">
        <v>9</v>
      </c>
      <c r="D8" s="5"/>
      <c r="E8" s="14"/>
      <c r="F8" s="15"/>
      <c r="G8" s="15" t="s">
        <v>10</v>
      </c>
      <c r="H8" s="15"/>
      <c r="I8" s="15"/>
      <c r="J8" s="16"/>
    </row>
    <row r="9" spans="1:10" x14ac:dyDescent="0.2">
      <c r="A9" s="3"/>
      <c r="B9" s="120" t="s">
        <v>11</v>
      </c>
      <c r="C9" s="119"/>
      <c r="D9" s="119"/>
      <c r="E9" s="119"/>
      <c r="F9" s="119"/>
      <c r="G9" s="119"/>
      <c r="H9" s="119"/>
      <c r="I9" s="119"/>
      <c r="J9" s="115"/>
    </row>
    <row r="10" spans="1:10" x14ac:dyDescent="0.2">
      <c r="A10" s="17"/>
      <c r="B10" s="146" t="s">
        <v>12</v>
      </c>
      <c r="C10" s="119"/>
      <c r="D10" s="119"/>
      <c r="E10" s="119"/>
      <c r="F10" s="119"/>
      <c r="G10" s="119"/>
      <c r="H10" s="119"/>
      <c r="I10" s="119"/>
      <c r="J10" s="115"/>
    </row>
    <row r="11" spans="1:10" x14ac:dyDescent="0.2">
      <c r="A11" s="3">
        <v>7</v>
      </c>
      <c r="B11" s="121" t="s">
        <v>13</v>
      </c>
      <c r="C11" s="18"/>
      <c r="D11" s="123" t="s">
        <v>14</v>
      </c>
      <c r="E11" s="124"/>
      <c r="F11" s="124"/>
      <c r="G11" s="124"/>
      <c r="H11" s="124"/>
      <c r="I11" s="63" t="s">
        <v>501</v>
      </c>
      <c r="J11" s="19"/>
    </row>
    <row r="12" spans="1:10" x14ac:dyDescent="0.2">
      <c r="A12" s="3">
        <v>8</v>
      </c>
      <c r="B12" s="122"/>
      <c r="C12" s="18"/>
      <c r="D12" s="140" t="s">
        <v>15</v>
      </c>
      <c r="E12" s="117"/>
      <c r="F12" s="117"/>
      <c r="G12" s="117"/>
      <c r="H12" s="117"/>
      <c r="I12" s="66" t="s">
        <v>186</v>
      </c>
      <c r="J12" s="19"/>
    </row>
    <row r="13" spans="1:10" x14ac:dyDescent="0.2">
      <c r="A13" s="3">
        <v>9</v>
      </c>
      <c r="B13" s="122"/>
      <c r="C13" s="18"/>
      <c r="D13" s="116" t="s">
        <v>17</v>
      </c>
      <c r="E13" s="117"/>
      <c r="F13" s="117"/>
      <c r="G13" s="117"/>
      <c r="H13" s="117"/>
      <c r="I13" s="20"/>
      <c r="J13" s="19"/>
    </row>
    <row r="14" spans="1:10" x14ac:dyDescent="0.2">
      <c r="A14" s="3">
        <v>10</v>
      </c>
      <c r="B14" s="122"/>
      <c r="C14" s="18"/>
      <c r="D14" s="116" t="s">
        <v>18</v>
      </c>
      <c r="E14" s="117"/>
      <c r="F14" s="117"/>
      <c r="G14" s="117"/>
      <c r="H14" s="117"/>
      <c r="I14" s="20"/>
      <c r="J14" s="19" t="s">
        <v>19</v>
      </c>
    </row>
    <row r="15" spans="1:10" x14ac:dyDescent="0.2">
      <c r="A15" s="3">
        <v>11</v>
      </c>
      <c r="B15" s="122"/>
      <c r="C15" s="18"/>
      <c r="D15" s="116" t="s">
        <v>20</v>
      </c>
      <c r="E15" s="117"/>
      <c r="F15" s="117"/>
      <c r="G15" s="117"/>
      <c r="H15" s="117"/>
      <c r="I15" s="20"/>
      <c r="J15" s="19" t="s">
        <v>19</v>
      </c>
    </row>
    <row r="16" spans="1:10" x14ac:dyDescent="0.2">
      <c r="A16" s="3">
        <v>12</v>
      </c>
      <c r="B16" s="122"/>
      <c r="C16" s="18"/>
      <c r="D16" s="116" t="s">
        <v>21</v>
      </c>
      <c r="E16" s="117"/>
      <c r="F16" s="117"/>
      <c r="G16" s="117"/>
      <c r="H16" s="117"/>
      <c r="I16" s="64" t="s">
        <v>5</v>
      </c>
      <c r="J16" s="19"/>
    </row>
    <row r="17" spans="1:10" x14ac:dyDescent="0.2">
      <c r="A17" s="3">
        <v>13</v>
      </c>
      <c r="B17" s="122"/>
      <c r="C17" s="18"/>
      <c r="D17" s="116" t="s">
        <v>22</v>
      </c>
      <c r="E17" s="117"/>
      <c r="F17" s="117"/>
      <c r="G17" s="117"/>
      <c r="H17" s="117"/>
      <c r="I17" s="20" t="s">
        <v>5</v>
      </c>
      <c r="J17" s="19"/>
    </row>
    <row r="18" spans="1:10" x14ac:dyDescent="0.2">
      <c r="A18" s="3">
        <v>14</v>
      </c>
      <c r="B18" s="122"/>
      <c r="C18" s="18"/>
      <c r="D18" s="116" t="s">
        <v>506</v>
      </c>
      <c r="E18" s="117"/>
      <c r="F18" s="117"/>
      <c r="G18" s="117"/>
      <c r="H18" s="117"/>
      <c r="I18" s="20"/>
      <c r="J18" s="19"/>
    </row>
    <row r="19" spans="1:10" x14ac:dyDescent="0.2">
      <c r="A19" s="3">
        <v>15</v>
      </c>
      <c r="B19" s="122"/>
      <c r="C19" s="18"/>
      <c r="D19" s="116" t="s">
        <v>23</v>
      </c>
      <c r="E19" s="117"/>
      <c r="F19" s="117"/>
      <c r="G19" s="117"/>
      <c r="H19" s="117"/>
      <c r="I19" s="20"/>
      <c r="J19" s="19" t="s">
        <v>24</v>
      </c>
    </row>
    <row r="20" spans="1:10" x14ac:dyDescent="0.2">
      <c r="A20" s="3">
        <v>16</v>
      </c>
      <c r="B20" s="122"/>
      <c r="C20" s="18"/>
      <c r="D20" s="116" t="s">
        <v>25</v>
      </c>
      <c r="E20" s="117"/>
      <c r="F20" s="117"/>
      <c r="G20" s="117"/>
      <c r="H20" s="117"/>
      <c r="I20" s="20"/>
      <c r="J20" s="19" t="s">
        <v>24</v>
      </c>
    </row>
    <row r="21" spans="1:10" x14ac:dyDescent="0.2">
      <c r="A21" s="3">
        <v>17</v>
      </c>
      <c r="B21" s="122"/>
      <c r="C21" s="18"/>
      <c r="D21" s="116" t="s">
        <v>26</v>
      </c>
      <c r="E21" s="117"/>
      <c r="F21" s="117"/>
      <c r="G21" s="117"/>
      <c r="H21" s="117"/>
      <c r="I21" s="21"/>
      <c r="J21" s="19" t="s">
        <v>24</v>
      </c>
    </row>
    <row r="22" spans="1:10" x14ac:dyDescent="0.2">
      <c r="A22" s="3">
        <v>18</v>
      </c>
      <c r="B22" s="122"/>
      <c r="C22" s="18"/>
      <c r="D22" s="116" t="s">
        <v>27</v>
      </c>
      <c r="E22" s="117"/>
      <c r="F22" s="117"/>
      <c r="G22" s="117"/>
      <c r="H22" s="117"/>
      <c r="I22" s="20">
        <v>3</v>
      </c>
      <c r="J22" s="19"/>
    </row>
    <row r="23" spans="1:10" x14ac:dyDescent="0.2">
      <c r="A23" s="3">
        <v>19</v>
      </c>
      <c r="B23" s="122"/>
      <c r="C23" s="18"/>
      <c r="D23" s="116" t="s">
        <v>28</v>
      </c>
      <c r="E23" s="117"/>
      <c r="F23" s="117"/>
      <c r="G23" s="117"/>
      <c r="H23" s="117"/>
      <c r="I23" s="21">
        <v>5273.3890000000001</v>
      </c>
      <c r="J23" s="19" t="s">
        <v>29</v>
      </c>
    </row>
    <row r="24" spans="1:10" x14ac:dyDescent="0.2">
      <c r="A24" s="3">
        <v>20</v>
      </c>
      <c r="B24" s="122"/>
      <c r="C24" s="18"/>
      <c r="D24" s="116" t="s">
        <v>30</v>
      </c>
      <c r="E24" s="117"/>
      <c r="F24" s="117"/>
      <c r="G24" s="117"/>
      <c r="H24" s="117"/>
      <c r="I24" s="21">
        <v>1728.98</v>
      </c>
      <c r="J24" s="19" t="s">
        <v>31</v>
      </c>
    </row>
    <row r="25" spans="1:10" x14ac:dyDescent="0.2">
      <c r="A25" s="3">
        <v>21</v>
      </c>
      <c r="B25" s="122"/>
      <c r="C25" s="18"/>
      <c r="D25" s="116" t="s">
        <v>32</v>
      </c>
      <c r="E25" s="117"/>
      <c r="F25" s="117"/>
      <c r="G25" s="117"/>
      <c r="H25" s="117"/>
      <c r="I25" s="21">
        <f>SUM(I34:I36,I38:I40,I42:I44,I47:I49)</f>
        <v>2956.8999999999996</v>
      </c>
      <c r="J25" s="19" t="s">
        <v>31</v>
      </c>
    </row>
    <row r="26" spans="1:10" x14ac:dyDescent="0.2">
      <c r="A26" s="3">
        <v>22</v>
      </c>
      <c r="B26" s="122"/>
      <c r="C26" s="18"/>
      <c r="D26" s="116" t="s">
        <v>33</v>
      </c>
      <c r="E26" s="117"/>
      <c r="F26" s="117"/>
      <c r="G26" s="117"/>
      <c r="H26" s="117"/>
      <c r="I26" s="21">
        <f>IF(I24&gt;0,I23/I24,0)</f>
        <v>3.05</v>
      </c>
      <c r="J26" s="19" t="s">
        <v>24</v>
      </c>
    </row>
    <row r="27" spans="1:10" x14ac:dyDescent="0.2">
      <c r="A27" s="3">
        <v>23</v>
      </c>
      <c r="B27" s="122"/>
      <c r="C27" s="18"/>
      <c r="D27" s="116" t="s">
        <v>34</v>
      </c>
      <c r="E27" s="117"/>
      <c r="F27" s="117"/>
      <c r="G27" s="117"/>
      <c r="H27" s="117"/>
      <c r="I27" s="21">
        <f>IF(I23&gt;0,I25/I23,0)</f>
        <v>0.56072100882373732</v>
      </c>
      <c r="J27" s="19" t="s">
        <v>35</v>
      </c>
    </row>
    <row r="28" spans="1:10" x14ac:dyDescent="0.2">
      <c r="A28" s="3">
        <v>24</v>
      </c>
      <c r="B28" s="131" t="s">
        <v>36</v>
      </c>
      <c r="C28" s="22"/>
      <c r="D28" s="6" t="s">
        <v>37</v>
      </c>
      <c r="E28" s="6"/>
      <c r="F28" s="6"/>
      <c r="G28" s="6"/>
      <c r="H28" s="6"/>
      <c r="I28" s="23" t="s">
        <v>38</v>
      </c>
      <c r="J28" s="24"/>
    </row>
    <row r="29" spans="1:10" x14ac:dyDescent="0.2">
      <c r="A29" s="3">
        <v>25</v>
      </c>
      <c r="B29" s="132"/>
      <c r="C29" s="25"/>
      <c r="D29" s="14" t="s">
        <v>39</v>
      </c>
      <c r="E29" s="14"/>
      <c r="F29" s="14"/>
      <c r="G29" s="14"/>
      <c r="H29" s="14"/>
      <c r="I29" s="65">
        <f>Výpočet_mesacny!Q28</f>
        <v>3173.5994999999998</v>
      </c>
      <c r="J29" s="26" t="s">
        <v>40</v>
      </c>
    </row>
    <row r="30" spans="1:10" x14ac:dyDescent="0.2">
      <c r="A30" s="27"/>
      <c r="B30" s="147" t="s">
        <v>41</v>
      </c>
      <c r="C30" s="125" t="s">
        <v>42</v>
      </c>
      <c r="D30" s="124"/>
      <c r="E30" s="124"/>
      <c r="F30" s="126"/>
      <c r="G30" s="125" t="s">
        <v>43</v>
      </c>
      <c r="H30" s="126"/>
      <c r="I30" s="28" t="s">
        <v>44</v>
      </c>
      <c r="J30" s="27" t="s">
        <v>45</v>
      </c>
    </row>
    <row r="31" spans="1:10" x14ac:dyDescent="0.2">
      <c r="A31" s="29"/>
      <c r="B31" s="127"/>
      <c r="C31" s="127"/>
      <c r="D31" s="117"/>
      <c r="E31" s="117"/>
      <c r="F31" s="128"/>
      <c r="G31" s="127"/>
      <c r="H31" s="128"/>
      <c r="I31" s="30" t="s">
        <v>46</v>
      </c>
      <c r="J31" s="29" t="s">
        <v>47</v>
      </c>
    </row>
    <row r="32" spans="1:10" x14ac:dyDescent="0.2">
      <c r="A32" s="29"/>
      <c r="B32" s="127"/>
      <c r="C32" s="129"/>
      <c r="D32" s="138"/>
      <c r="E32" s="138"/>
      <c r="F32" s="130"/>
      <c r="G32" s="129"/>
      <c r="H32" s="130"/>
      <c r="I32" s="31" t="s">
        <v>48</v>
      </c>
      <c r="J32" s="17" t="s">
        <v>49</v>
      </c>
    </row>
    <row r="33" spans="1:10" x14ac:dyDescent="0.2">
      <c r="A33" s="17"/>
      <c r="B33" s="127"/>
      <c r="C33" s="12"/>
      <c r="D33" s="120" t="s">
        <v>50</v>
      </c>
      <c r="E33" s="119"/>
      <c r="F33" s="115"/>
      <c r="G33" s="32"/>
      <c r="H33" s="33"/>
      <c r="I33" s="34"/>
      <c r="J33" s="34"/>
    </row>
    <row r="34" spans="1:10" x14ac:dyDescent="0.2">
      <c r="A34" s="3">
        <v>26</v>
      </c>
      <c r="B34" s="127"/>
      <c r="C34" s="3">
        <v>1</v>
      </c>
      <c r="D34" s="118" t="s">
        <v>51</v>
      </c>
      <c r="E34" s="119"/>
      <c r="F34" s="115"/>
      <c r="G34" s="134">
        <v>0.46</v>
      </c>
      <c r="H34" s="115"/>
      <c r="I34" s="35">
        <v>849.31</v>
      </c>
      <c r="J34" s="35">
        <v>1</v>
      </c>
    </row>
    <row r="35" spans="1:10" x14ac:dyDescent="0.2">
      <c r="A35" s="3">
        <v>27</v>
      </c>
      <c r="B35" s="127"/>
      <c r="C35" s="3">
        <v>2</v>
      </c>
      <c r="D35" s="118"/>
      <c r="E35" s="119"/>
      <c r="F35" s="115"/>
      <c r="G35" s="134"/>
      <c r="H35" s="115"/>
      <c r="I35" s="35"/>
      <c r="J35" s="35"/>
    </row>
    <row r="36" spans="1:10" x14ac:dyDescent="0.2">
      <c r="A36" s="3">
        <v>28</v>
      </c>
      <c r="B36" s="127"/>
      <c r="C36" s="3">
        <v>3</v>
      </c>
      <c r="D36" s="118"/>
      <c r="E36" s="119"/>
      <c r="F36" s="115"/>
      <c r="G36" s="134"/>
      <c r="H36" s="115"/>
      <c r="I36" s="35"/>
      <c r="J36" s="35"/>
    </row>
    <row r="37" spans="1:10" x14ac:dyDescent="0.2">
      <c r="A37" s="3" t="s">
        <v>5</v>
      </c>
      <c r="B37" s="127"/>
      <c r="C37" s="34"/>
      <c r="D37" s="120" t="s">
        <v>52</v>
      </c>
      <c r="E37" s="119"/>
      <c r="F37" s="115"/>
      <c r="G37" s="143"/>
      <c r="H37" s="115"/>
      <c r="I37" s="36"/>
      <c r="J37" s="36"/>
    </row>
    <row r="38" spans="1:10" x14ac:dyDescent="0.2">
      <c r="A38" s="3">
        <v>31</v>
      </c>
      <c r="B38" s="127"/>
      <c r="C38" s="3">
        <v>1</v>
      </c>
      <c r="D38" s="133" t="s">
        <v>53</v>
      </c>
      <c r="E38" s="119"/>
      <c r="F38" s="115"/>
      <c r="G38" s="134">
        <v>0.1</v>
      </c>
      <c r="H38" s="115"/>
      <c r="I38" s="35">
        <v>876</v>
      </c>
      <c r="J38" s="35">
        <v>1</v>
      </c>
    </row>
    <row r="39" spans="1:10" x14ac:dyDescent="0.2">
      <c r="A39" s="3">
        <v>32</v>
      </c>
      <c r="B39" s="127"/>
      <c r="C39" s="3">
        <v>2</v>
      </c>
      <c r="D39" s="133"/>
      <c r="E39" s="119"/>
      <c r="F39" s="115"/>
      <c r="G39" s="134"/>
      <c r="H39" s="115"/>
      <c r="I39" s="35"/>
      <c r="J39" s="35"/>
    </row>
    <row r="40" spans="1:10" x14ac:dyDescent="0.2">
      <c r="A40" s="3">
        <v>33</v>
      </c>
      <c r="B40" s="127"/>
      <c r="C40" s="3">
        <v>3</v>
      </c>
      <c r="D40" s="133"/>
      <c r="E40" s="119"/>
      <c r="F40" s="115"/>
      <c r="G40" s="134"/>
      <c r="H40" s="115"/>
      <c r="I40" s="35"/>
      <c r="J40" s="35"/>
    </row>
    <row r="41" spans="1:10" x14ac:dyDescent="0.2">
      <c r="A41" s="3"/>
      <c r="B41" s="127"/>
      <c r="C41" s="34"/>
      <c r="D41" s="120" t="s">
        <v>54</v>
      </c>
      <c r="E41" s="119"/>
      <c r="F41" s="115"/>
      <c r="G41" s="143"/>
      <c r="H41" s="115"/>
      <c r="I41" s="36"/>
      <c r="J41" s="36"/>
    </row>
    <row r="42" spans="1:10" x14ac:dyDescent="0.2">
      <c r="A42" s="3">
        <v>36</v>
      </c>
      <c r="B42" s="127"/>
      <c r="C42" s="3">
        <v>1</v>
      </c>
      <c r="D42" s="118" t="s">
        <v>55</v>
      </c>
      <c r="E42" s="119"/>
      <c r="F42" s="115"/>
      <c r="G42" s="134">
        <v>0.47109791982668109</v>
      </c>
      <c r="H42" s="115"/>
      <c r="I42" s="35">
        <v>843.85</v>
      </c>
      <c r="J42" s="35">
        <v>1</v>
      </c>
    </row>
    <row r="43" spans="1:10" x14ac:dyDescent="0.2">
      <c r="A43" s="3"/>
      <c r="B43" s="127"/>
      <c r="C43" s="3">
        <v>2</v>
      </c>
      <c r="D43" s="118"/>
      <c r="E43" s="119"/>
      <c r="F43" s="115"/>
      <c r="G43" s="134"/>
      <c r="H43" s="115"/>
      <c r="I43" s="35"/>
      <c r="J43" s="35"/>
    </row>
    <row r="44" spans="1:10" x14ac:dyDescent="0.2">
      <c r="A44" s="3">
        <v>37</v>
      </c>
      <c r="B44" s="127"/>
      <c r="C44" s="3">
        <v>3</v>
      </c>
      <c r="D44" s="118"/>
      <c r="E44" s="119"/>
      <c r="F44" s="115"/>
      <c r="G44" s="134"/>
      <c r="H44" s="115"/>
      <c r="I44" s="35"/>
      <c r="J44" s="35"/>
    </row>
    <row r="45" spans="1:10" x14ac:dyDescent="0.2">
      <c r="A45" s="3">
        <v>38</v>
      </c>
      <c r="B45" s="127"/>
      <c r="C45" s="3"/>
      <c r="D45" s="118"/>
      <c r="E45" s="119"/>
      <c r="F45" s="115"/>
      <c r="G45" s="134"/>
      <c r="H45" s="115"/>
      <c r="I45" s="35"/>
      <c r="J45" s="35"/>
    </row>
    <row r="46" spans="1:10" x14ac:dyDescent="0.2">
      <c r="A46" s="3"/>
      <c r="B46" s="127"/>
      <c r="C46" s="34"/>
      <c r="D46" s="120" t="s">
        <v>56</v>
      </c>
      <c r="E46" s="119"/>
      <c r="F46" s="115"/>
      <c r="G46" s="143"/>
      <c r="H46" s="115"/>
      <c r="I46" s="36"/>
      <c r="J46" s="36"/>
    </row>
    <row r="47" spans="1:10" x14ac:dyDescent="0.2">
      <c r="A47" s="3">
        <v>41</v>
      </c>
      <c r="B47" s="127"/>
      <c r="C47" s="3">
        <v>1</v>
      </c>
      <c r="D47" s="118" t="s">
        <v>57</v>
      </c>
      <c r="E47" s="119"/>
      <c r="F47" s="115"/>
      <c r="G47" s="134">
        <v>1.1000000000000001</v>
      </c>
      <c r="H47" s="115"/>
      <c r="I47" s="35">
        <v>387.74</v>
      </c>
      <c r="J47" s="35">
        <v>1</v>
      </c>
    </row>
    <row r="48" spans="1:10" x14ac:dyDescent="0.2">
      <c r="A48" s="3">
        <v>42</v>
      </c>
      <c r="B48" s="127"/>
      <c r="C48" s="3">
        <v>2</v>
      </c>
      <c r="D48" s="118"/>
      <c r="E48" s="119"/>
      <c r="F48" s="115"/>
      <c r="G48" s="134"/>
      <c r="H48" s="115"/>
      <c r="I48" s="35"/>
      <c r="J48" s="35"/>
    </row>
    <row r="49" spans="1:10" x14ac:dyDescent="0.2">
      <c r="A49" s="3">
        <v>43</v>
      </c>
      <c r="B49" s="127"/>
      <c r="C49" s="3">
        <v>3</v>
      </c>
      <c r="D49" s="118"/>
      <c r="E49" s="119"/>
      <c r="F49" s="115"/>
      <c r="G49" s="134"/>
      <c r="H49" s="115"/>
      <c r="I49" s="35"/>
      <c r="J49" s="35"/>
    </row>
    <row r="50" spans="1:10" x14ac:dyDescent="0.2">
      <c r="A50" s="3">
        <v>46</v>
      </c>
      <c r="B50" s="139" t="s">
        <v>41</v>
      </c>
      <c r="C50" s="4"/>
      <c r="D50" s="6" t="s">
        <v>58</v>
      </c>
      <c r="E50" s="6"/>
      <c r="F50" s="6"/>
      <c r="G50" s="6"/>
      <c r="H50" s="6"/>
      <c r="I50" s="38">
        <f>(SUMPRODUCT(G34:G36,I34:I36,J34:J36)+SUMPRODUCT(G38:G40,I38:I40,J38:J40)+SUMPRODUCT(G42:G44,I42:I44,J42:J44)+SUMPRODUCT(G47:G49,I47:I49,J47:J49)+I51+I53)/I25</f>
        <v>0.54043849289652857</v>
      </c>
      <c r="J50" s="24" t="s">
        <v>59</v>
      </c>
    </row>
    <row r="51" spans="1:10" x14ac:dyDescent="0.2">
      <c r="A51" s="3">
        <v>47</v>
      </c>
      <c r="B51" s="117"/>
      <c r="C51" s="9"/>
      <c r="D51" s="2" t="s">
        <v>60</v>
      </c>
      <c r="E51" s="2"/>
      <c r="F51" s="2"/>
      <c r="G51" s="2"/>
      <c r="H51" s="2"/>
      <c r="I51" s="39">
        <v>0</v>
      </c>
      <c r="J51" s="19" t="s">
        <v>61</v>
      </c>
    </row>
    <row r="52" spans="1:10" x14ac:dyDescent="0.2">
      <c r="A52" s="3">
        <v>48</v>
      </c>
      <c r="B52" s="117"/>
      <c r="C52" s="9"/>
      <c r="D52" s="2" t="s">
        <v>62</v>
      </c>
      <c r="E52" s="2"/>
      <c r="F52" s="2"/>
      <c r="G52" s="2"/>
      <c r="H52" s="2"/>
      <c r="I52" s="39">
        <v>0.1</v>
      </c>
      <c r="J52" s="19" t="s">
        <v>59</v>
      </c>
    </row>
    <row r="53" spans="1:10" x14ac:dyDescent="0.2">
      <c r="A53" s="27">
        <v>49</v>
      </c>
      <c r="B53" s="117"/>
      <c r="C53" s="12"/>
      <c r="D53" s="14" t="s">
        <v>63</v>
      </c>
      <c r="E53" s="14"/>
      <c r="F53" s="14"/>
      <c r="G53" s="14"/>
      <c r="H53" s="14"/>
      <c r="I53" s="40">
        <f>I52*I25</f>
        <v>295.69</v>
      </c>
      <c r="J53" s="26" t="s">
        <v>61</v>
      </c>
    </row>
    <row r="54" spans="1:10" x14ac:dyDescent="0.2">
      <c r="A54" s="27"/>
      <c r="B54" s="117"/>
      <c r="C54" s="136" t="s">
        <v>64</v>
      </c>
      <c r="D54" s="124"/>
      <c r="E54" s="124"/>
      <c r="F54" s="124"/>
      <c r="G54" s="124"/>
      <c r="H54" s="126"/>
      <c r="I54" s="2"/>
      <c r="J54" s="41" t="s">
        <v>65</v>
      </c>
    </row>
    <row r="55" spans="1:10" x14ac:dyDescent="0.2">
      <c r="A55" s="29"/>
      <c r="B55" s="117"/>
      <c r="C55" s="127"/>
      <c r="D55" s="117"/>
      <c r="E55" s="117"/>
      <c r="F55" s="117"/>
      <c r="G55" s="117"/>
      <c r="H55" s="128"/>
      <c r="I55" s="42" t="s">
        <v>66</v>
      </c>
      <c r="J55" s="41" t="s">
        <v>67</v>
      </c>
    </row>
    <row r="56" spans="1:10" x14ac:dyDescent="0.2">
      <c r="A56" s="29"/>
      <c r="B56" s="117"/>
      <c r="C56" s="127"/>
      <c r="D56" s="117"/>
      <c r="E56" s="117"/>
      <c r="F56" s="117"/>
      <c r="G56" s="117"/>
      <c r="H56" s="128"/>
      <c r="I56" s="42" t="s">
        <v>68</v>
      </c>
      <c r="J56" s="41" t="s">
        <v>69</v>
      </c>
    </row>
    <row r="57" spans="1:10" x14ac:dyDescent="0.2">
      <c r="A57" s="29"/>
      <c r="B57" s="117"/>
      <c r="C57" s="127"/>
      <c r="D57" s="117"/>
      <c r="E57" s="117"/>
      <c r="F57" s="117"/>
      <c r="G57" s="117"/>
      <c r="H57" s="128"/>
      <c r="I57" s="42" t="s">
        <v>70</v>
      </c>
      <c r="J57" s="41" t="s">
        <v>71</v>
      </c>
    </row>
    <row r="58" spans="1:10" x14ac:dyDescent="0.2">
      <c r="A58" s="29"/>
      <c r="B58" s="117"/>
      <c r="C58" s="127"/>
      <c r="D58" s="117"/>
      <c r="E58" s="117"/>
      <c r="F58" s="117"/>
      <c r="G58" s="117"/>
      <c r="H58" s="128"/>
      <c r="I58" s="43"/>
      <c r="J58" s="41" t="s">
        <v>72</v>
      </c>
    </row>
    <row r="59" spans="1:10" x14ac:dyDescent="0.2">
      <c r="A59" s="17"/>
      <c r="B59" s="117"/>
      <c r="C59" s="44"/>
      <c r="D59" s="45"/>
      <c r="E59" s="45"/>
      <c r="F59" s="45"/>
      <c r="G59" s="45"/>
      <c r="H59" s="46"/>
      <c r="I59" s="14"/>
      <c r="J59" s="47" t="s">
        <v>73</v>
      </c>
    </row>
    <row r="60" spans="1:10" x14ac:dyDescent="0.2">
      <c r="A60" s="17">
        <v>50</v>
      </c>
      <c r="B60" s="117"/>
      <c r="C60" s="3">
        <v>1</v>
      </c>
      <c r="D60" s="118" t="s">
        <v>57</v>
      </c>
      <c r="E60" s="119"/>
      <c r="F60" s="119"/>
      <c r="G60" s="119"/>
      <c r="H60" s="115"/>
      <c r="I60" s="35">
        <v>453.74</v>
      </c>
      <c r="J60" s="48" t="s">
        <v>74</v>
      </c>
    </row>
    <row r="61" spans="1:10" x14ac:dyDescent="0.2">
      <c r="A61" s="3">
        <v>53</v>
      </c>
      <c r="B61" s="117"/>
      <c r="C61" s="4"/>
      <c r="D61" s="6" t="s">
        <v>75</v>
      </c>
      <c r="E61" s="6"/>
      <c r="F61" s="6"/>
      <c r="G61" s="6"/>
      <c r="H61" s="6"/>
      <c r="I61" s="49"/>
      <c r="J61" s="24"/>
    </row>
    <row r="62" spans="1:10" x14ac:dyDescent="0.2">
      <c r="A62" s="3">
        <v>54</v>
      </c>
      <c r="B62" s="117"/>
      <c r="C62" s="9"/>
      <c r="D62" s="116" t="s">
        <v>76</v>
      </c>
      <c r="E62" s="117"/>
      <c r="F62" s="117"/>
      <c r="G62" s="117"/>
      <c r="H62" s="117"/>
      <c r="I62" s="21">
        <f>IF(AND(ISNUMBER(I60),I23&gt;0), (I60 * 1.259921) / I23, 0)</f>
        <v>0.10840781033600974</v>
      </c>
      <c r="J62" s="19" t="s">
        <v>77</v>
      </c>
    </row>
    <row r="63" spans="1:10" x14ac:dyDescent="0.2">
      <c r="A63" s="3">
        <v>55</v>
      </c>
      <c r="B63" s="117"/>
      <c r="C63" s="9"/>
      <c r="D63" s="116" t="s">
        <v>78</v>
      </c>
      <c r="E63" s="117"/>
      <c r="F63" s="117"/>
      <c r="G63" s="117"/>
      <c r="H63" s="117"/>
      <c r="I63" s="21"/>
      <c r="J63" s="19" t="s">
        <v>77</v>
      </c>
    </row>
    <row r="64" spans="1:10" x14ac:dyDescent="0.2">
      <c r="A64" s="3">
        <v>56</v>
      </c>
      <c r="B64" s="117"/>
      <c r="C64" s="9"/>
      <c r="D64" s="116" t="s">
        <v>79</v>
      </c>
      <c r="E64" s="117"/>
      <c r="F64" s="117"/>
      <c r="G64" s="117"/>
      <c r="H64" s="117"/>
      <c r="I64" s="21">
        <v>0.5</v>
      </c>
      <c r="J64" s="19" t="s">
        <v>77</v>
      </c>
    </row>
    <row r="65" spans="1:10" x14ac:dyDescent="0.2">
      <c r="A65" s="3">
        <v>57</v>
      </c>
      <c r="B65" s="117"/>
      <c r="C65" s="9"/>
      <c r="D65" s="116" t="s">
        <v>80</v>
      </c>
      <c r="E65" s="117"/>
      <c r="F65" s="117"/>
      <c r="G65" s="117"/>
      <c r="H65" s="117"/>
      <c r="I65" s="66" t="s">
        <v>81</v>
      </c>
      <c r="J65" s="19"/>
    </row>
    <row r="66" spans="1:10" x14ac:dyDescent="0.2">
      <c r="A66" s="3">
        <v>58</v>
      </c>
      <c r="B66" s="117"/>
      <c r="C66" s="9"/>
      <c r="D66" s="116" t="s">
        <v>82</v>
      </c>
      <c r="E66" s="117"/>
      <c r="F66" s="117"/>
      <c r="G66" s="117"/>
      <c r="H66" s="117"/>
      <c r="I66" s="21">
        <v>0.8</v>
      </c>
      <c r="J66" s="19" t="s">
        <v>19</v>
      </c>
    </row>
    <row r="67" spans="1:10" x14ac:dyDescent="0.2">
      <c r="A67" s="3">
        <v>59</v>
      </c>
      <c r="B67" s="138"/>
      <c r="C67" s="12"/>
      <c r="D67" s="116" t="s">
        <v>83</v>
      </c>
      <c r="E67" s="117"/>
      <c r="F67" s="117"/>
      <c r="G67" s="117"/>
      <c r="H67" s="117"/>
      <c r="I67" s="40">
        <v>1</v>
      </c>
      <c r="J67" s="26" t="s">
        <v>29</v>
      </c>
    </row>
    <row r="68" spans="1:10" x14ac:dyDescent="0.2">
      <c r="A68" s="3">
        <v>60</v>
      </c>
      <c r="B68" s="137" t="s">
        <v>84</v>
      </c>
      <c r="C68" s="6"/>
      <c r="D68" s="6" t="s">
        <v>507</v>
      </c>
      <c r="E68" s="6"/>
      <c r="F68" s="6"/>
      <c r="G68" s="6"/>
      <c r="H68" s="6"/>
      <c r="I68" s="23">
        <v>6</v>
      </c>
      <c r="J68" s="24" t="s">
        <v>85</v>
      </c>
    </row>
    <row r="69" spans="1:10" x14ac:dyDescent="0.2">
      <c r="A69" s="27">
        <v>61</v>
      </c>
      <c r="B69" s="122"/>
      <c r="C69" s="14"/>
      <c r="D69" s="14" t="s">
        <v>86</v>
      </c>
      <c r="E69" s="14"/>
      <c r="F69" s="14"/>
      <c r="G69" s="14"/>
      <c r="H69" s="14"/>
      <c r="I69" s="50">
        <f>Výpočet_mesacny!E28</f>
        <v>67969.661760000003</v>
      </c>
      <c r="J69" s="26" t="s">
        <v>87</v>
      </c>
    </row>
    <row r="70" spans="1:10" x14ac:dyDescent="0.2">
      <c r="A70" s="27"/>
      <c r="B70" s="122"/>
      <c r="C70" s="51"/>
      <c r="D70" s="51"/>
      <c r="E70" s="145" t="s">
        <v>88</v>
      </c>
      <c r="F70" s="51" t="s">
        <v>89</v>
      </c>
      <c r="G70" s="125" t="s">
        <v>90</v>
      </c>
      <c r="H70" s="126"/>
      <c r="I70" s="51" t="s">
        <v>91</v>
      </c>
      <c r="J70" s="27" t="s">
        <v>92</v>
      </c>
    </row>
    <row r="71" spans="1:10" x14ac:dyDescent="0.2">
      <c r="A71" s="29"/>
      <c r="B71" s="122"/>
      <c r="C71" s="43"/>
      <c r="D71" s="43"/>
      <c r="E71" s="122"/>
      <c r="F71" s="43" t="s">
        <v>93</v>
      </c>
      <c r="G71" s="127"/>
      <c r="H71" s="128"/>
      <c r="I71" s="43" t="s">
        <v>94</v>
      </c>
      <c r="J71" s="29" t="s">
        <v>95</v>
      </c>
    </row>
    <row r="72" spans="1:10" x14ac:dyDescent="0.2">
      <c r="A72" s="29"/>
      <c r="B72" s="122"/>
      <c r="C72" s="43"/>
      <c r="D72" s="43" t="s">
        <v>96</v>
      </c>
      <c r="E72" s="122"/>
      <c r="F72" s="43" t="s">
        <v>97</v>
      </c>
      <c r="G72" s="127"/>
      <c r="H72" s="128"/>
      <c r="I72" s="43" t="s">
        <v>69</v>
      </c>
      <c r="J72" s="29" t="s">
        <v>98</v>
      </c>
    </row>
    <row r="73" spans="1:10" x14ac:dyDescent="0.2">
      <c r="A73" s="29"/>
      <c r="B73" s="122"/>
      <c r="C73" s="43"/>
      <c r="D73" s="43"/>
      <c r="E73" s="29" t="s">
        <v>99</v>
      </c>
      <c r="F73" s="43" t="s">
        <v>100</v>
      </c>
      <c r="G73" s="127"/>
      <c r="H73" s="128"/>
      <c r="I73" s="43" t="s">
        <v>101</v>
      </c>
      <c r="J73" s="29" t="s">
        <v>102</v>
      </c>
    </row>
    <row r="74" spans="1:10" x14ac:dyDescent="0.2">
      <c r="A74" s="17"/>
      <c r="B74" s="122"/>
      <c r="C74" s="52"/>
      <c r="D74" s="52"/>
      <c r="E74" s="17"/>
      <c r="F74" s="52"/>
      <c r="G74" s="129"/>
      <c r="H74" s="130"/>
      <c r="I74" s="52" t="s">
        <v>103</v>
      </c>
      <c r="J74" s="17" t="s">
        <v>104</v>
      </c>
    </row>
    <row r="75" spans="1:10" x14ac:dyDescent="0.2">
      <c r="A75" s="17">
        <v>62</v>
      </c>
      <c r="B75" s="122"/>
      <c r="C75" s="3">
        <v>1</v>
      </c>
      <c r="D75" s="53" t="s">
        <v>105</v>
      </c>
      <c r="E75" s="37" cm="1">
        <f t="array" ref="E75">SUMPRODUCT((KLIMA_DB!$B$3:$B$250=$I$12)*KLIMA_DB!$F$3:$F$250)</f>
        <v>1369.8500000000001</v>
      </c>
      <c r="F75" s="37">
        <v>0.60499999999999998</v>
      </c>
      <c r="G75" s="114">
        <v>0.6</v>
      </c>
      <c r="H75" s="115"/>
      <c r="I75" s="35">
        <v>203.96</v>
      </c>
      <c r="J75" s="35">
        <f>IF(AND(ISNUMBER(I75),ISNUMBER(F75),ISNUMBER(G75)),I75*F75*G75*0.5,0)</f>
        <v>37.018739999999994</v>
      </c>
    </row>
    <row r="76" spans="1:10" x14ac:dyDescent="0.2">
      <c r="A76" s="3">
        <v>63</v>
      </c>
      <c r="B76" s="122"/>
      <c r="C76" s="3">
        <v>2</v>
      </c>
      <c r="D76" s="53" t="s">
        <v>106</v>
      </c>
      <c r="E76" s="37">
        <f>SUMPRODUCT((KLIMA_DB!$B$3:$B$250=$I$12)*KLIMA_DB!$G$3:$G$250)</f>
        <v>828.09999999999991</v>
      </c>
      <c r="F76" s="37">
        <v>0.60499999999999998</v>
      </c>
      <c r="G76" s="114">
        <v>0.6</v>
      </c>
      <c r="H76" s="115"/>
      <c r="I76" s="35">
        <v>173.68</v>
      </c>
      <c r="J76" s="35">
        <f t="shared" ref="J76:J82" si="0">IF(AND(ISNUMBER(I76),ISNUMBER(F76),ISNUMBER(G76)),I76*F76*G76*0.5,0)</f>
        <v>31.522919999999999</v>
      </c>
    </row>
    <row r="77" spans="1:10" x14ac:dyDescent="0.2">
      <c r="A77" s="3">
        <v>64</v>
      </c>
      <c r="B77" s="122"/>
      <c r="C77" s="3">
        <v>3</v>
      </c>
      <c r="D77" s="53" t="s">
        <v>107</v>
      </c>
      <c r="E77" s="37">
        <f>SUMPRODUCT((KLIMA_DB!$B$3:$B$250=$I$12)*((KLIMA_DB!$H$3:$H$250+KLIMA_DB!$I$3:$I$250)/2))</f>
        <v>1147.9000000000001</v>
      </c>
      <c r="F77" s="37">
        <v>0.60499999999999998</v>
      </c>
      <c r="G77" s="114">
        <v>0.6</v>
      </c>
      <c r="H77" s="115"/>
      <c r="I77" s="35">
        <v>10.1</v>
      </c>
      <c r="J77" s="35">
        <f t="shared" si="0"/>
        <v>1.8331499999999998</v>
      </c>
    </row>
    <row r="78" spans="1:10" x14ac:dyDescent="0.2">
      <c r="A78" s="3">
        <v>65</v>
      </c>
      <c r="B78" s="122"/>
      <c r="C78" s="3">
        <v>4</v>
      </c>
      <c r="D78" s="53" t="s">
        <v>108</v>
      </c>
      <c r="E78" s="37">
        <f>SUMPRODUCT((KLIMA_DB!$B$3:$B$250=$I$12)*((KLIMA_DB!$F$3:$F$250+KLIMA_DB!$H$3:$H$250)/2))</f>
        <v>1258.875</v>
      </c>
      <c r="F78" s="37">
        <v>0.60499999999999998</v>
      </c>
      <c r="G78" s="114">
        <v>0.9</v>
      </c>
      <c r="H78" s="115"/>
      <c r="I78" s="35">
        <v>0</v>
      </c>
      <c r="J78" s="35">
        <f>IF(AND(ISNUMBER(I78),ISNUMBER(F78),ISNUMBER(G78)),I78*F78*G78*0.5,0)</f>
        <v>0</v>
      </c>
    </row>
    <row r="79" spans="1:10" x14ac:dyDescent="0.2">
      <c r="A79" s="3">
        <v>66</v>
      </c>
      <c r="B79" s="122"/>
      <c r="C79" s="3">
        <v>5</v>
      </c>
      <c r="D79" s="53" t="s">
        <v>109</v>
      </c>
      <c r="E79" s="37">
        <f>SUMPRODUCT((KLIMA_DB!$B$3:$B$250=$I$12)*((KLIMA_DB!$G$3:$G$250+KLIMA_DB!$H$3:$H$250)/2))</f>
        <v>988</v>
      </c>
      <c r="F79" s="37">
        <v>0.60499999999999998</v>
      </c>
      <c r="G79" s="114">
        <v>0.9</v>
      </c>
      <c r="H79" s="115"/>
      <c r="I79" s="35">
        <v>0</v>
      </c>
      <c r="J79" s="35">
        <f t="shared" si="0"/>
        <v>0</v>
      </c>
    </row>
    <row r="80" spans="1:10" x14ac:dyDescent="0.2">
      <c r="A80" s="3">
        <v>67</v>
      </c>
      <c r="B80" s="122"/>
      <c r="C80" s="3">
        <v>6</v>
      </c>
      <c r="D80" s="53" t="s">
        <v>110</v>
      </c>
      <c r="E80" s="37">
        <f>SUMPRODUCT((KLIMA_DB!$B$3:$B$250=$I$12)*KLIMA_DB!$E$3:$E$250)</f>
        <v>1215</v>
      </c>
      <c r="F80" s="37">
        <v>0.60499999999999998</v>
      </c>
      <c r="G80" s="114">
        <v>0.9</v>
      </c>
      <c r="H80" s="115"/>
      <c r="I80" s="35">
        <v>0</v>
      </c>
      <c r="J80" s="35">
        <f t="shared" si="0"/>
        <v>0</v>
      </c>
    </row>
    <row r="81" spans="1:10" x14ac:dyDescent="0.2">
      <c r="A81" s="3">
        <v>68</v>
      </c>
      <c r="B81" s="122"/>
      <c r="C81" s="3">
        <v>7</v>
      </c>
      <c r="D81" s="53"/>
      <c r="E81" s="37"/>
      <c r="F81" s="37"/>
      <c r="G81" s="114"/>
      <c r="H81" s="115"/>
      <c r="I81" s="37"/>
      <c r="J81" s="37">
        <f t="shared" si="0"/>
        <v>0</v>
      </c>
    </row>
    <row r="82" spans="1:10" x14ac:dyDescent="0.2">
      <c r="A82" s="3">
        <v>69</v>
      </c>
      <c r="B82" s="122"/>
      <c r="C82" s="3">
        <v>8</v>
      </c>
      <c r="D82" s="53"/>
      <c r="E82" s="37"/>
      <c r="F82" s="37"/>
      <c r="G82" s="114"/>
      <c r="H82" s="115"/>
      <c r="I82" s="37"/>
      <c r="J82" s="37">
        <f t="shared" si="0"/>
        <v>0</v>
      </c>
    </row>
    <row r="83" spans="1:10" x14ac:dyDescent="0.2">
      <c r="A83" s="3">
        <v>70</v>
      </c>
      <c r="B83" s="132"/>
      <c r="C83" s="12"/>
      <c r="D83" s="13" t="s">
        <v>111</v>
      </c>
      <c r="E83" s="14"/>
      <c r="F83" s="14"/>
      <c r="G83" s="14"/>
      <c r="H83" s="14"/>
      <c r="I83" s="50">
        <f>Výpočet_mesacny!F28</f>
        <v>46397.190648599993</v>
      </c>
      <c r="J83" s="26" t="s">
        <v>87</v>
      </c>
    </row>
    <row r="84" spans="1:10" x14ac:dyDescent="0.2">
      <c r="A84" s="54"/>
      <c r="B84" s="137" t="s">
        <v>112</v>
      </c>
      <c r="C84" s="6"/>
      <c r="D84" s="142" t="s">
        <v>113</v>
      </c>
      <c r="E84" s="124"/>
      <c r="F84" s="124"/>
      <c r="G84" s="124"/>
      <c r="H84" s="124"/>
      <c r="I84" s="23"/>
      <c r="J84" s="24"/>
    </row>
    <row r="85" spans="1:10" x14ac:dyDescent="0.2">
      <c r="A85" s="54">
        <v>71</v>
      </c>
      <c r="B85" s="122"/>
      <c r="C85" s="2"/>
      <c r="D85" s="116" t="s">
        <v>114</v>
      </c>
      <c r="E85" s="117"/>
      <c r="F85" s="117"/>
      <c r="G85" s="117"/>
      <c r="H85" s="117"/>
      <c r="I85" s="21">
        <f>(SUMPRODUCT(G34:G36,I34:I36,J34:J36)+SUMPRODUCT(G38:G40,I38:I40,J38:J40)+SUMPRODUCT(G42:G44,I42:I44,J42:J44)+SUMPRODUCT(G47:G49,I47:I49,J47:J49)+I51+I53)</f>
        <v>1598.0225796457451</v>
      </c>
      <c r="J85" s="19" t="s">
        <v>61</v>
      </c>
    </row>
    <row r="86" spans="1:10" x14ac:dyDescent="0.2">
      <c r="A86" s="54">
        <v>72</v>
      </c>
      <c r="B86" s="122"/>
      <c r="C86" s="2"/>
      <c r="D86" s="116" t="s">
        <v>115</v>
      </c>
      <c r="E86" s="117"/>
      <c r="F86" s="117"/>
      <c r="G86" s="117"/>
      <c r="H86" s="117"/>
      <c r="I86" s="39">
        <f>IF(I65="Áno", (0.34 * I64 * 0.8 * I23) * (1 - (I66 * I67)), 0.34 * I64 * 0.8 * I23)</f>
        <v>717.18090400000006</v>
      </c>
      <c r="J86" s="19" t="s">
        <v>61</v>
      </c>
    </row>
    <row r="87" spans="1:10" x14ac:dyDescent="0.2">
      <c r="A87" s="54">
        <v>73</v>
      </c>
      <c r="B87" s="122"/>
      <c r="C87" s="2"/>
      <c r="D87" s="116" t="s">
        <v>116</v>
      </c>
      <c r="E87" s="117"/>
      <c r="F87" s="117"/>
      <c r="G87" s="117"/>
      <c r="H87" s="117"/>
      <c r="I87" s="21">
        <f>Výpočet_mesacny!I28</f>
        <v>0.71115530987982678</v>
      </c>
      <c r="J87" s="19"/>
    </row>
    <row r="88" spans="1:10" x14ac:dyDescent="0.2">
      <c r="A88" s="54">
        <v>74</v>
      </c>
      <c r="B88" s="122"/>
      <c r="C88" s="2"/>
      <c r="D88" s="152" t="s">
        <v>117</v>
      </c>
      <c r="E88" s="117"/>
      <c r="F88" s="117"/>
      <c r="G88" s="117"/>
      <c r="H88" s="117"/>
      <c r="I88" s="21"/>
      <c r="J88" s="55" t="s">
        <v>118</v>
      </c>
    </row>
    <row r="89" spans="1:10" x14ac:dyDescent="0.2">
      <c r="A89" s="56"/>
      <c r="B89" s="122"/>
      <c r="C89" s="2"/>
      <c r="D89" s="151" t="s">
        <v>119</v>
      </c>
      <c r="E89" s="117"/>
      <c r="F89" s="117"/>
      <c r="G89" s="117"/>
      <c r="H89" s="117"/>
      <c r="I89" s="20"/>
      <c r="J89" s="19"/>
    </row>
    <row r="90" spans="1:10" x14ac:dyDescent="0.2">
      <c r="A90" s="54">
        <v>75</v>
      </c>
      <c r="B90" s="122"/>
      <c r="C90" s="2"/>
      <c r="D90" s="116" t="s">
        <v>120</v>
      </c>
      <c r="E90" s="117"/>
      <c r="F90" s="117"/>
      <c r="G90" s="117"/>
      <c r="H90" s="117"/>
      <c r="I90" s="21">
        <f>Výpočet_mesacny!P28</f>
        <v>6.7750934065934079</v>
      </c>
      <c r="J90" s="19" t="s">
        <v>121</v>
      </c>
    </row>
    <row r="91" spans="1:10" x14ac:dyDescent="0.2">
      <c r="A91" s="54">
        <v>76</v>
      </c>
      <c r="B91" s="122"/>
      <c r="C91" s="2"/>
      <c r="D91" s="116" t="s">
        <v>122</v>
      </c>
      <c r="E91" s="117"/>
      <c r="F91" s="117"/>
      <c r="G91" s="117"/>
      <c r="H91" s="117"/>
      <c r="I91" s="20">
        <f>Výpočet_mesacny!O28</f>
        <v>273</v>
      </c>
      <c r="J91" s="19" t="s">
        <v>123</v>
      </c>
    </row>
    <row r="92" spans="1:10" x14ac:dyDescent="0.2">
      <c r="A92" s="54">
        <v>77</v>
      </c>
      <c r="B92" s="122"/>
      <c r="C92" s="2"/>
      <c r="D92" s="116" t="s">
        <v>124</v>
      </c>
      <c r="E92" s="117"/>
      <c r="F92" s="117"/>
      <c r="G92" s="117"/>
      <c r="H92" s="117"/>
      <c r="I92" s="20">
        <v>20</v>
      </c>
      <c r="J92" s="19" t="s">
        <v>121</v>
      </c>
    </row>
    <row r="93" spans="1:10" x14ac:dyDescent="0.2">
      <c r="A93" s="54">
        <v>78</v>
      </c>
      <c r="B93" s="122"/>
      <c r="C93" s="2"/>
      <c r="D93" s="116" t="s">
        <v>125</v>
      </c>
      <c r="E93" s="117"/>
      <c r="F93" s="117"/>
      <c r="G93" s="117"/>
      <c r="H93" s="117"/>
      <c r="I93" s="20" t="s">
        <v>126</v>
      </c>
      <c r="J93" s="19"/>
    </row>
    <row r="94" spans="1:10" x14ac:dyDescent="0.2">
      <c r="A94" s="54">
        <v>79</v>
      </c>
      <c r="B94" s="122"/>
      <c r="C94" s="2"/>
      <c r="D94" s="116" t="s">
        <v>127</v>
      </c>
      <c r="E94" s="117"/>
      <c r="F94" s="117"/>
      <c r="G94" s="117"/>
      <c r="H94" s="117"/>
      <c r="I94" s="20"/>
      <c r="J94" s="19" t="s">
        <v>128</v>
      </c>
    </row>
    <row r="95" spans="1:10" x14ac:dyDescent="0.2">
      <c r="A95" s="54">
        <v>80</v>
      </c>
      <c r="B95" s="122"/>
      <c r="C95" s="2"/>
      <c r="D95" s="116" t="s">
        <v>129</v>
      </c>
      <c r="E95" s="117"/>
      <c r="F95" s="117"/>
      <c r="G95" s="117"/>
      <c r="H95" s="117"/>
      <c r="I95" s="20"/>
      <c r="J95" s="19" t="s">
        <v>128</v>
      </c>
    </row>
    <row r="96" spans="1:10" x14ac:dyDescent="0.2">
      <c r="A96" s="150">
        <v>81</v>
      </c>
      <c r="B96" s="122"/>
      <c r="C96" s="2"/>
      <c r="D96" s="116" t="s">
        <v>130</v>
      </c>
      <c r="E96" s="117"/>
      <c r="F96" s="117"/>
      <c r="G96" s="117"/>
      <c r="H96" s="117"/>
      <c r="I96" s="20"/>
      <c r="J96" s="19"/>
    </row>
    <row r="97" spans="1:10" x14ac:dyDescent="0.2">
      <c r="A97" s="129"/>
      <c r="B97" s="122"/>
      <c r="C97" s="2"/>
      <c r="D97" s="116" t="s">
        <v>131</v>
      </c>
      <c r="E97" s="117"/>
      <c r="F97" s="117"/>
      <c r="G97" s="117"/>
      <c r="H97" s="117"/>
      <c r="I97" s="20"/>
      <c r="J97" s="19"/>
    </row>
    <row r="98" spans="1:10" x14ac:dyDescent="0.2">
      <c r="A98" s="54">
        <v>82</v>
      </c>
      <c r="B98" s="122"/>
      <c r="C98" s="2"/>
      <c r="D98" s="116" t="s">
        <v>132</v>
      </c>
      <c r="E98" s="117"/>
      <c r="F98" s="117"/>
      <c r="G98" s="117"/>
      <c r="H98" s="117"/>
      <c r="I98" s="20"/>
      <c r="J98" s="19"/>
    </row>
    <row r="99" spans="1:10" x14ac:dyDescent="0.2">
      <c r="A99" s="54">
        <v>83</v>
      </c>
      <c r="B99" s="122"/>
      <c r="C99" s="2"/>
      <c r="D99" s="116" t="s">
        <v>133</v>
      </c>
      <c r="E99" s="117"/>
      <c r="F99" s="117"/>
      <c r="G99" s="117"/>
      <c r="H99" s="117"/>
      <c r="I99" s="20">
        <v>18.399999999999999</v>
      </c>
      <c r="J99" s="19" t="s">
        <v>121</v>
      </c>
    </row>
    <row r="100" spans="1:10" x14ac:dyDescent="0.2">
      <c r="A100" s="54">
        <v>84</v>
      </c>
      <c r="B100" s="122"/>
      <c r="C100" s="2"/>
      <c r="D100" s="116" t="s">
        <v>134</v>
      </c>
      <c r="E100" s="117"/>
      <c r="F100" s="117"/>
      <c r="G100" s="117"/>
      <c r="H100" s="117"/>
      <c r="I100" s="66" t="s">
        <v>135</v>
      </c>
      <c r="J100" s="19"/>
    </row>
    <row r="101" spans="1:10" x14ac:dyDescent="0.2">
      <c r="A101" s="54">
        <v>85</v>
      </c>
      <c r="B101" s="122"/>
      <c r="C101" s="2"/>
      <c r="D101" s="116" t="s">
        <v>136</v>
      </c>
      <c r="E101" s="117"/>
      <c r="F101" s="117"/>
      <c r="G101" s="117"/>
      <c r="H101" s="117"/>
      <c r="I101" s="20">
        <f>IF(I100="", 165000, IFERROR(VLOOKUP(I100, KLIMA_DB!$M$3:$N$7, 2, FALSE), 165000))</f>
        <v>165000</v>
      </c>
      <c r="J101" s="19" t="s">
        <v>137</v>
      </c>
    </row>
    <row r="102" spans="1:10" x14ac:dyDescent="0.2">
      <c r="A102" s="54">
        <v>86</v>
      </c>
      <c r="B102" s="122"/>
      <c r="C102" s="2"/>
      <c r="D102" s="116" t="s">
        <v>138</v>
      </c>
      <c r="E102" s="117"/>
      <c r="F102" s="117"/>
      <c r="G102" s="117"/>
      <c r="H102" s="117"/>
      <c r="I102" s="21">
        <f>Výpočet_mesacny!I28</f>
        <v>0.71115530987982678</v>
      </c>
      <c r="J102" s="19"/>
    </row>
    <row r="103" spans="1:10" x14ac:dyDescent="0.2">
      <c r="A103" s="54">
        <v>87</v>
      </c>
      <c r="B103" s="132"/>
      <c r="C103" s="14"/>
      <c r="D103" s="148" t="s">
        <v>139</v>
      </c>
      <c r="E103" s="138"/>
      <c r="F103" s="138"/>
      <c r="G103" s="138"/>
      <c r="H103" s="138"/>
      <c r="I103" s="40">
        <f>Výpočet_mesacny!J28 / I24</f>
        <v>54.950371010477326</v>
      </c>
      <c r="J103" s="57" t="s">
        <v>118</v>
      </c>
    </row>
    <row r="104" spans="1:10" x14ac:dyDescent="0.2">
      <c r="A104" s="27"/>
      <c r="B104" s="58"/>
      <c r="C104" s="6"/>
      <c r="D104" s="142" t="s">
        <v>140</v>
      </c>
      <c r="E104" s="124"/>
      <c r="F104" s="124"/>
      <c r="G104" s="124"/>
      <c r="H104" s="124"/>
      <c r="I104" s="51"/>
      <c r="J104" s="24"/>
    </row>
    <row r="105" spans="1:10" x14ac:dyDescent="0.2">
      <c r="A105" s="3">
        <v>88</v>
      </c>
      <c r="B105" s="59"/>
      <c r="C105" s="2"/>
      <c r="D105" s="116" t="s">
        <v>141</v>
      </c>
      <c r="E105" s="117"/>
      <c r="F105" s="117"/>
      <c r="G105" s="117"/>
      <c r="H105" s="117"/>
      <c r="I105" s="20">
        <v>33</v>
      </c>
      <c r="J105" s="19" t="s">
        <v>121</v>
      </c>
    </row>
    <row r="106" spans="1:10" x14ac:dyDescent="0.2">
      <c r="A106" s="3">
        <v>89</v>
      </c>
      <c r="B106" s="59"/>
      <c r="C106" s="2"/>
      <c r="D106" s="116" t="s">
        <v>142</v>
      </c>
      <c r="E106" s="117"/>
      <c r="F106" s="117"/>
      <c r="G106" s="117"/>
      <c r="H106" s="117"/>
      <c r="I106" s="20">
        <v>26</v>
      </c>
      <c r="J106" s="19" t="s">
        <v>121</v>
      </c>
    </row>
    <row r="107" spans="1:10" x14ac:dyDescent="0.2">
      <c r="A107" s="3">
        <v>90</v>
      </c>
      <c r="B107" s="59"/>
      <c r="C107" s="2"/>
      <c r="D107" s="116" t="s">
        <v>143</v>
      </c>
      <c r="E107" s="117"/>
      <c r="F107" s="117"/>
      <c r="G107" s="117"/>
      <c r="H107" s="117"/>
      <c r="I107" s="20">
        <f>Výpočet_mesacny!O61</f>
        <v>153</v>
      </c>
      <c r="J107" s="19" t="s">
        <v>123</v>
      </c>
    </row>
    <row r="108" spans="1:10" x14ac:dyDescent="0.2">
      <c r="A108" s="3">
        <v>91</v>
      </c>
      <c r="B108" s="59"/>
      <c r="C108" s="2"/>
      <c r="D108" s="116" t="s">
        <v>144</v>
      </c>
      <c r="E108" s="117"/>
      <c r="F108" s="117"/>
      <c r="G108" s="117"/>
      <c r="H108" s="117"/>
      <c r="I108" s="20">
        <f>0.6 * 0.04 * (SUMPRODUCT(G34:G36,I34:I36) + SUMPRODUCT(G38:G40,I38:I40))</f>
        <v>11.4787824</v>
      </c>
      <c r="J108" s="19" t="s">
        <v>31</v>
      </c>
    </row>
    <row r="109" spans="1:10" x14ac:dyDescent="0.2">
      <c r="A109" s="3">
        <v>92</v>
      </c>
      <c r="B109" s="59"/>
      <c r="C109" s="2"/>
      <c r="D109" s="141" t="s">
        <v>145</v>
      </c>
      <c r="E109" s="117"/>
      <c r="F109" s="117"/>
      <c r="G109" s="117"/>
      <c r="H109" s="117"/>
      <c r="I109" s="20">
        <f>I203</f>
        <v>0</v>
      </c>
      <c r="J109" s="19"/>
    </row>
    <row r="110" spans="1:10" x14ac:dyDescent="0.2">
      <c r="A110" s="3">
        <v>93</v>
      </c>
      <c r="B110" s="60"/>
      <c r="C110" s="2"/>
      <c r="D110" s="5" t="s">
        <v>146</v>
      </c>
      <c r="E110" s="2"/>
      <c r="F110" s="2"/>
      <c r="G110" s="2"/>
      <c r="H110" s="2"/>
      <c r="I110" s="20">
        <f>IF(I24&gt;0, I204/I24, 0)</f>
        <v>90.865789168775933</v>
      </c>
      <c r="J110" s="55" t="s">
        <v>118</v>
      </c>
    </row>
    <row r="111" spans="1:10" x14ac:dyDescent="0.2">
      <c r="A111" s="29"/>
      <c r="B111" s="146" t="s">
        <v>147</v>
      </c>
      <c r="C111" s="119"/>
      <c r="D111" s="119"/>
      <c r="E111" s="119"/>
      <c r="F111" s="119"/>
      <c r="G111" s="119"/>
      <c r="H111" s="119"/>
      <c r="I111" s="119"/>
      <c r="J111" s="115"/>
    </row>
    <row r="112" spans="1:10" x14ac:dyDescent="0.2">
      <c r="A112" s="3">
        <v>94</v>
      </c>
      <c r="B112" s="58"/>
      <c r="C112" s="32"/>
      <c r="D112" s="149" t="s">
        <v>148</v>
      </c>
      <c r="E112" s="119"/>
      <c r="F112" s="119"/>
      <c r="G112" s="119"/>
      <c r="H112" s="119"/>
      <c r="I112" s="61">
        <f>I85+I86</f>
        <v>2315.2034836457451</v>
      </c>
      <c r="J112" s="33" t="s">
        <v>61</v>
      </c>
    </row>
    <row r="113" spans="1:10" x14ac:dyDescent="0.2">
      <c r="A113" s="3">
        <v>95</v>
      </c>
      <c r="B113" s="59"/>
      <c r="C113" s="32"/>
      <c r="D113" s="144" t="s">
        <v>117</v>
      </c>
      <c r="E113" s="119"/>
      <c r="F113" s="119"/>
      <c r="G113" s="119"/>
      <c r="H113" s="119"/>
      <c r="I113" s="61">
        <f>I103</f>
        <v>54.950371010477326</v>
      </c>
      <c r="J113" s="62" t="s">
        <v>149</v>
      </c>
    </row>
    <row r="114" spans="1:10" x14ac:dyDescent="0.2">
      <c r="A114" s="3">
        <v>96</v>
      </c>
      <c r="B114" s="59"/>
      <c r="C114" s="32"/>
      <c r="D114" s="144" t="s">
        <v>139</v>
      </c>
      <c r="E114" s="119"/>
      <c r="F114" s="119"/>
      <c r="G114" s="119"/>
      <c r="H114" s="119"/>
      <c r="I114" s="61">
        <f>I103</f>
        <v>54.950371010477326</v>
      </c>
      <c r="J114" s="62" t="s">
        <v>149</v>
      </c>
    </row>
    <row r="115" spans="1:10" x14ac:dyDescent="0.2">
      <c r="A115" s="3">
        <v>97</v>
      </c>
      <c r="B115" s="60"/>
      <c r="C115" s="32"/>
      <c r="D115" s="144" t="s">
        <v>150</v>
      </c>
      <c r="E115" s="119"/>
      <c r="F115" s="119"/>
      <c r="G115" s="119"/>
      <c r="H115" s="119"/>
      <c r="I115" s="61">
        <f>I110</f>
        <v>90.865789168775933</v>
      </c>
      <c r="J115" s="62" t="s">
        <v>149</v>
      </c>
    </row>
    <row r="195" spans="1:9" x14ac:dyDescent="0.2">
      <c r="A195" s="69"/>
      <c r="I195">
        <f>MAX(0, I112*(I106-I105)*I107*24/1000)</f>
        <v>0</v>
      </c>
    </row>
    <row r="196" spans="1:9" x14ac:dyDescent="0.2">
      <c r="A196" s="69" t="s">
        <v>151</v>
      </c>
      <c r="I196">
        <f>MAX(0, I112*(I105-I106)*I107*24/1000)</f>
        <v>59509.990343630234</v>
      </c>
    </row>
    <row r="197" spans="1:9" x14ac:dyDescent="0.2">
      <c r="A197" s="69" t="s">
        <v>152</v>
      </c>
      <c r="I197">
        <f>I68*I24*I107*24/1000</f>
        <v>38092.887360000001</v>
      </c>
    </row>
    <row r="198" spans="1:9" x14ac:dyDescent="0.2">
      <c r="A198" s="69" t="s">
        <v>153</v>
      </c>
      <c r="I198">
        <f>IF(Výpočet_mesacny!S61&gt;0, Výpočet_mesacny!S61*(I107/153), SUMPRODUCT(E75:E80,J75:J80)*2*(I107/153))</f>
        <v>59502.254453399997</v>
      </c>
    </row>
    <row r="199" spans="1:9" x14ac:dyDescent="0.2">
      <c r="A199" s="69" t="s">
        <v>154</v>
      </c>
      <c r="I199">
        <f>I197+I198+I196</f>
        <v>157105.13215703022</v>
      </c>
    </row>
    <row r="200" spans="1:9" x14ac:dyDescent="0.2">
      <c r="A200" s="69" t="s">
        <v>155</v>
      </c>
      <c r="I200">
        <f>IF(I112&gt;0, I101*I24/(I112*3600), 0)</f>
        <v>34.228056940325565</v>
      </c>
    </row>
    <row r="201" spans="1:9" x14ac:dyDescent="0.2">
      <c r="A201" s="69" t="s">
        <v>156</v>
      </c>
      <c r="I201">
        <f>1+I200/15</f>
        <v>3.2818704626883712</v>
      </c>
    </row>
    <row r="202" spans="1:9" x14ac:dyDescent="0.2">
      <c r="A202" s="69" t="s">
        <v>157</v>
      </c>
      <c r="I202">
        <f>IF(I195&gt;0, I199/I195, 9999)</f>
        <v>9999</v>
      </c>
    </row>
    <row r="203" spans="1:9" x14ac:dyDescent="0.2">
      <c r="A203" s="69" t="s">
        <v>158</v>
      </c>
      <c r="I203">
        <f>IF(I195&lt;=0, 0, IF(ABS(I202-1)&lt;0.001, I201/(I201+1), (1-POWER(I202,-I201))/(1-POWER(I202,-(I201+1)))))</f>
        <v>0</v>
      </c>
    </row>
    <row r="204" spans="1:9" x14ac:dyDescent="0.2">
      <c r="A204" s="69" t="s">
        <v>159</v>
      </c>
      <c r="I204">
        <f>MAX(0, I199 - I203*I195)</f>
        <v>157105.13215703022</v>
      </c>
    </row>
    <row r="205" spans="1:9" x14ac:dyDescent="0.2">
      <c r="A205" s="69" t="s">
        <v>160</v>
      </c>
    </row>
  </sheetData>
  <mergeCells count="111">
    <mergeCell ref="A96:A97"/>
    <mergeCell ref="D62:H62"/>
    <mergeCell ref="G30:H32"/>
    <mergeCell ref="D114:H114"/>
    <mergeCell ref="D15:H15"/>
    <mergeCell ref="G47:H47"/>
    <mergeCell ref="D24:H24"/>
    <mergeCell ref="D64:H64"/>
    <mergeCell ref="D89:H89"/>
    <mergeCell ref="D98:H98"/>
    <mergeCell ref="G46:H46"/>
    <mergeCell ref="G40:H40"/>
    <mergeCell ref="D88:H88"/>
    <mergeCell ref="D49:F49"/>
    <mergeCell ref="D26:H26"/>
    <mergeCell ref="D113:H113"/>
    <mergeCell ref="G41:H41"/>
    <mergeCell ref="D36:F36"/>
    <mergeCell ref="D45:F45"/>
    <mergeCell ref="D115:H115"/>
    <mergeCell ref="G43:H43"/>
    <mergeCell ref="D20:H20"/>
    <mergeCell ref="E70:E72"/>
    <mergeCell ref="B111:J111"/>
    <mergeCell ref="D100:H100"/>
    <mergeCell ref="D48:F48"/>
    <mergeCell ref="G36:H36"/>
    <mergeCell ref="D84:H84"/>
    <mergeCell ref="D22:H22"/>
    <mergeCell ref="G82:H82"/>
    <mergeCell ref="D86:H86"/>
    <mergeCell ref="B30:B49"/>
    <mergeCell ref="D38:F38"/>
    <mergeCell ref="D103:H103"/>
    <mergeCell ref="D112:H112"/>
    <mergeCell ref="G45:H45"/>
    <mergeCell ref="D109:H109"/>
    <mergeCell ref="G42:H42"/>
    <mergeCell ref="G39:H39"/>
    <mergeCell ref="B84:B103"/>
    <mergeCell ref="D21:H21"/>
    <mergeCell ref="D108:H108"/>
    <mergeCell ref="D95:H95"/>
    <mergeCell ref="D104:H104"/>
    <mergeCell ref="G37:H37"/>
    <mergeCell ref="D33:F33"/>
    <mergeCell ref="G78:H78"/>
    <mergeCell ref="D97:H97"/>
    <mergeCell ref="D42:F42"/>
    <mergeCell ref="D87:H87"/>
    <mergeCell ref="D35:F35"/>
    <mergeCell ref="G80:H80"/>
    <mergeCell ref="D44:F44"/>
    <mergeCell ref="D34:F34"/>
    <mergeCell ref="G79:H79"/>
    <mergeCell ref="D105:H105"/>
    <mergeCell ref="G38:H38"/>
    <mergeCell ref="D27:H27"/>
    <mergeCell ref="D107:H107"/>
    <mergeCell ref="D17:H17"/>
    <mergeCell ref="G49:H49"/>
    <mergeCell ref="D91:H91"/>
    <mergeCell ref="C30:F32"/>
    <mergeCell ref="D106:H106"/>
    <mergeCell ref="D93:H93"/>
    <mergeCell ref="G35:H35"/>
    <mergeCell ref="D25:H25"/>
    <mergeCell ref="G76:H76"/>
    <mergeCell ref="D46:F46"/>
    <mergeCell ref="D40:F40"/>
    <mergeCell ref="D67:H67"/>
    <mergeCell ref="D85:H85"/>
    <mergeCell ref="D60:H60"/>
    <mergeCell ref="D18:H18"/>
    <mergeCell ref="D102:H102"/>
    <mergeCell ref="D92:H92"/>
    <mergeCell ref="D23:H23"/>
    <mergeCell ref="G44:H44"/>
    <mergeCell ref="G75:H75"/>
    <mergeCell ref="D94:H94"/>
    <mergeCell ref="B2:J2"/>
    <mergeCell ref="G77:H77"/>
    <mergeCell ref="C54:H58"/>
    <mergeCell ref="D41:F41"/>
    <mergeCell ref="D63:H63"/>
    <mergeCell ref="B68:B83"/>
    <mergeCell ref="G48:H48"/>
    <mergeCell ref="D43:F43"/>
    <mergeCell ref="D65:H65"/>
    <mergeCell ref="D96:H96"/>
    <mergeCell ref="B50:B67"/>
    <mergeCell ref="D12:H12"/>
    <mergeCell ref="D14:H14"/>
    <mergeCell ref="B9:J9"/>
    <mergeCell ref="D16:H16"/>
    <mergeCell ref="B10:J10"/>
    <mergeCell ref="D13:H13"/>
    <mergeCell ref="G81:H81"/>
    <mergeCell ref="D19:H19"/>
    <mergeCell ref="D90:H90"/>
    <mergeCell ref="D99:H99"/>
    <mergeCell ref="D47:F47"/>
    <mergeCell ref="D37:F37"/>
    <mergeCell ref="D101:H101"/>
    <mergeCell ref="B11:B27"/>
    <mergeCell ref="D11:H11"/>
    <mergeCell ref="G70:H74"/>
    <mergeCell ref="B28:B29"/>
    <mergeCell ref="D39:F39"/>
    <mergeCell ref="D66:H66"/>
    <mergeCell ref="G34:H34"/>
  </mergeCells>
  <dataValidations disablePrompts="1" count="1">
    <dataValidation type="list" allowBlank="1" sqref="I65" xr:uid="{00000000-0002-0000-0000-000002000000}">
      <formula1>"Áno,Nie"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KLIMA_DB!$K$3:$K$15</xm:f>
          </x14:formula1>
          <xm:sqref>I12</xm:sqref>
        </x14:dataValidation>
        <x14:dataValidation type="list" allowBlank="1" xr:uid="{00000000-0002-0000-0000-000001000000}">
          <x14:formula1>
            <xm:f>KLIMA_DB!$M$3:$M$7</xm:f>
          </x14:formula1>
          <xm:sqref>I100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8"/>
  <sheetViews>
    <sheetView workbookViewId="0"/>
  </sheetViews>
  <sheetFormatPr defaultRowHeight="12.75" x14ac:dyDescent="0.2"/>
  <cols>
    <col min="16" max="18" width="22" customWidth="1"/>
  </cols>
  <sheetData>
    <row r="1" spans="1:18" x14ac:dyDescent="0.2">
      <c r="P1" s="70" t="s">
        <v>161</v>
      </c>
    </row>
    <row r="2" spans="1:18" ht="15" x14ac:dyDescent="0.25">
      <c r="A2" s="67" t="s">
        <v>162</v>
      </c>
      <c r="B2" s="67" t="s">
        <v>163</v>
      </c>
      <c r="C2" s="67" t="s">
        <v>164</v>
      </c>
      <c r="D2" s="67" t="s">
        <v>165</v>
      </c>
      <c r="E2" s="67" t="s">
        <v>166</v>
      </c>
      <c r="F2" s="67" t="s">
        <v>167</v>
      </c>
      <c r="G2" s="67" t="s">
        <v>168</v>
      </c>
      <c r="H2" s="67" t="s">
        <v>169</v>
      </c>
      <c r="I2" s="67" t="s">
        <v>170</v>
      </c>
      <c r="K2" s="68" t="s">
        <v>171</v>
      </c>
      <c r="M2" s="68" t="s">
        <v>172</v>
      </c>
      <c r="N2" s="68" t="s">
        <v>173</v>
      </c>
      <c r="P2" s="71" t="s">
        <v>174</v>
      </c>
      <c r="Q2" s="72" t="s">
        <v>175</v>
      </c>
      <c r="R2" s="72" t="s">
        <v>176</v>
      </c>
    </row>
    <row r="3" spans="1:18" x14ac:dyDescent="0.2">
      <c r="A3" t="s">
        <v>177</v>
      </c>
      <c r="B3" t="s">
        <v>16</v>
      </c>
      <c r="C3">
        <v>1</v>
      </c>
      <c r="D3">
        <v>-1.64</v>
      </c>
      <c r="E3">
        <v>26</v>
      </c>
      <c r="F3">
        <v>42.12</v>
      </c>
      <c r="G3">
        <v>13</v>
      </c>
      <c r="H3">
        <v>26</v>
      </c>
      <c r="I3">
        <v>26</v>
      </c>
      <c r="K3" t="s">
        <v>16</v>
      </c>
      <c r="M3" t="s">
        <v>178</v>
      </c>
      <c r="N3">
        <v>80000</v>
      </c>
      <c r="P3" t="s">
        <v>179</v>
      </c>
      <c r="Q3" s="73">
        <v>29</v>
      </c>
      <c r="R3" s="73">
        <v>-15</v>
      </c>
    </row>
    <row r="4" spans="1:18" x14ac:dyDescent="0.2">
      <c r="A4" t="s">
        <v>180</v>
      </c>
      <c r="B4" t="s">
        <v>16</v>
      </c>
      <c r="C4">
        <v>2</v>
      </c>
      <c r="D4">
        <v>0.625</v>
      </c>
      <c r="E4">
        <v>49</v>
      </c>
      <c r="F4">
        <v>71.539999999999992</v>
      </c>
      <c r="G4">
        <v>21.07</v>
      </c>
      <c r="H4">
        <v>48.51</v>
      </c>
      <c r="I4">
        <v>48.51</v>
      </c>
      <c r="K4" t="s">
        <v>181</v>
      </c>
      <c r="M4" t="s">
        <v>182</v>
      </c>
      <c r="N4">
        <v>110000</v>
      </c>
      <c r="P4" t="s">
        <v>183</v>
      </c>
      <c r="Q4" s="73">
        <v>28</v>
      </c>
      <c r="R4" s="73">
        <v>-15</v>
      </c>
    </row>
    <row r="5" spans="1:18" x14ac:dyDescent="0.2">
      <c r="A5" t="s">
        <v>184</v>
      </c>
      <c r="B5" t="s">
        <v>16</v>
      </c>
      <c r="C5">
        <v>3</v>
      </c>
      <c r="D5">
        <v>5.3900000000000006</v>
      </c>
      <c r="E5">
        <v>88</v>
      </c>
      <c r="F5">
        <v>110.88</v>
      </c>
      <c r="G5">
        <v>44.88</v>
      </c>
      <c r="H5">
        <v>84.47999999999999</v>
      </c>
      <c r="I5">
        <v>84.47999999999999</v>
      </c>
      <c r="K5" t="s">
        <v>185</v>
      </c>
      <c r="M5" t="s">
        <v>135</v>
      </c>
      <c r="N5">
        <v>165000</v>
      </c>
      <c r="P5" t="s">
        <v>186</v>
      </c>
      <c r="Q5" s="73">
        <v>34</v>
      </c>
      <c r="R5" s="73">
        <v>-11</v>
      </c>
    </row>
    <row r="6" spans="1:18" x14ac:dyDescent="0.2">
      <c r="A6" t="s">
        <v>187</v>
      </c>
      <c r="B6" t="s">
        <v>16</v>
      </c>
      <c r="C6">
        <v>4</v>
      </c>
      <c r="D6">
        <v>10.755000000000001</v>
      </c>
      <c r="E6">
        <v>134</v>
      </c>
      <c r="F6">
        <v>147.4</v>
      </c>
      <c r="G6">
        <v>91.12</v>
      </c>
      <c r="H6">
        <v>125.96</v>
      </c>
      <c r="I6">
        <v>125.96</v>
      </c>
      <c r="K6" t="s">
        <v>188</v>
      </c>
      <c r="M6" t="s">
        <v>189</v>
      </c>
      <c r="N6">
        <v>260000</v>
      </c>
      <c r="P6" t="s">
        <v>190</v>
      </c>
      <c r="Q6" s="73">
        <v>28</v>
      </c>
      <c r="R6" s="73">
        <v>-16</v>
      </c>
    </row>
    <row r="7" spans="1:18" x14ac:dyDescent="0.2">
      <c r="A7" t="s">
        <v>191</v>
      </c>
      <c r="B7" t="s">
        <v>16</v>
      </c>
      <c r="C7">
        <v>5</v>
      </c>
      <c r="D7">
        <v>15.654999999999999</v>
      </c>
      <c r="E7">
        <v>166</v>
      </c>
      <c r="F7">
        <v>167.66</v>
      </c>
      <c r="G7">
        <v>131.13999999999999</v>
      </c>
      <c r="H7">
        <v>156.04</v>
      </c>
      <c r="I7">
        <v>156.04</v>
      </c>
      <c r="K7" t="s">
        <v>192</v>
      </c>
      <c r="M7" t="s">
        <v>193</v>
      </c>
      <c r="N7">
        <v>370000</v>
      </c>
      <c r="P7" t="s">
        <v>194</v>
      </c>
      <c r="Q7" s="73">
        <v>31</v>
      </c>
      <c r="R7" s="73">
        <v>-12</v>
      </c>
    </row>
    <row r="8" spans="1:18" x14ac:dyDescent="0.2">
      <c r="A8" t="s">
        <v>195</v>
      </c>
      <c r="B8" t="s">
        <v>16</v>
      </c>
      <c r="C8">
        <v>6</v>
      </c>
      <c r="D8">
        <v>18.6875</v>
      </c>
      <c r="E8">
        <v>178</v>
      </c>
      <c r="F8">
        <v>172.66</v>
      </c>
      <c r="G8">
        <v>145.96</v>
      </c>
      <c r="H8">
        <v>165.54</v>
      </c>
      <c r="I8">
        <v>165.54</v>
      </c>
      <c r="K8" t="s">
        <v>190</v>
      </c>
      <c r="P8" t="s">
        <v>196</v>
      </c>
      <c r="Q8" s="73">
        <v>27</v>
      </c>
      <c r="R8" s="73">
        <v>-16</v>
      </c>
    </row>
    <row r="9" spans="1:18" x14ac:dyDescent="0.2">
      <c r="A9" t="s">
        <v>197</v>
      </c>
      <c r="B9" t="s">
        <v>16</v>
      </c>
      <c r="C9">
        <v>7</v>
      </c>
      <c r="D9">
        <v>20.387499999999999</v>
      </c>
      <c r="E9">
        <v>171</v>
      </c>
      <c r="F9">
        <v>167.58</v>
      </c>
      <c r="G9">
        <v>138.51</v>
      </c>
      <c r="H9">
        <v>159.03</v>
      </c>
      <c r="I9">
        <v>159.03</v>
      </c>
      <c r="K9" t="s">
        <v>179</v>
      </c>
      <c r="P9" t="s">
        <v>16</v>
      </c>
      <c r="Q9" s="73">
        <v>32</v>
      </c>
      <c r="R9" s="73">
        <v>-11</v>
      </c>
    </row>
    <row r="10" spans="1:18" x14ac:dyDescent="0.2">
      <c r="A10" t="s">
        <v>198</v>
      </c>
      <c r="B10" t="s">
        <v>16</v>
      </c>
      <c r="C10">
        <v>8</v>
      </c>
      <c r="D10">
        <v>19.787500000000001</v>
      </c>
      <c r="E10">
        <v>147</v>
      </c>
      <c r="F10">
        <v>154.35</v>
      </c>
      <c r="G10">
        <v>107.31</v>
      </c>
      <c r="H10">
        <v>136.71</v>
      </c>
      <c r="I10">
        <v>136.71</v>
      </c>
      <c r="K10" t="s">
        <v>199</v>
      </c>
      <c r="P10" t="s">
        <v>188</v>
      </c>
      <c r="Q10" s="73">
        <v>30</v>
      </c>
      <c r="R10" s="73">
        <v>-11</v>
      </c>
    </row>
    <row r="11" spans="1:18" x14ac:dyDescent="0.2">
      <c r="A11" t="s">
        <v>200</v>
      </c>
      <c r="B11" t="s">
        <v>16</v>
      </c>
      <c r="C11">
        <v>9</v>
      </c>
      <c r="D11">
        <v>15.422499999999999</v>
      </c>
      <c r="E11">
        <v>111</v>
      </c>
      <c r="F11">
        <v>130.97999999999999</v>
      </c>
      <c r="G11">
        <v>64.38</v>
      </c>
      <c r="H11">
        <v>105.45</v>
      </c>
      <c r="I11">
        <v>105.45</v>
      </c>
      <c r="K11" t="s">
        <v>183</v>
      </c>
      <c r="P11" t="s">
        <v>201</v>
      </c>
      <c r="Q11" s="73">
        <v>30</v>
      </c>
      <c r="R11" s="73">
        <v>-15</v>
      </c>
    </row>
    <row r="12" spans="1:18" x14ac:dyDescent="0.2">
      <c r="A12" t="s">
        <v>202</v>
      </c>
      <c r="B12" t="s">
        <v>16</v>
      </c>
      <c r="C12">
        <v>10</v>
      </c>
      <c r="D12">
        <v>10.025</v>
      </c>
      <c r="E12">
        <v>64</v>
      </c>
      <c r="F12">
        <v>86.4</v>
      </c>
      <c r="G12">
        <v>27.52</v>
      </c>
      <c r="H12">
        <v>61.44</v>
      </c>
      <c r="I12">
        <v>61.44</v>
      </c>
      <c r="K12" t="s">
        <v>201</v>
      </c>
      <c r="P12" t="s">
        <v>181</v>
      </c>
      <c r="Q12" s="73">
        <v>31</v>
      </c>
      <c r="R12" s="73">
        <v>-11</v>
      </c>
    </row>
    <row r="13" spans="1:18" x14ac:dyDescent="0.2">
      <c r="A13" t="s">
        <v>203</v>
      </c>
      <c r="B13" t="s">
        <v>16</v>
      </c>
      <c r="C13">
        <v>11</v>
      </c>
      <c r="D13">
        <v>4.4924999999999997</v>
      </c>
      <c r="E13">
        <v>30</v>
      </c>
      <c r="F13">
        <v>45.9</v>
      </c>
      <c r="G13">
        <v>13.5</v>
      </c>
      <c r="H13">
        <v>29.4</v>
      </c>
      <c r="I13">
        <v>29.4</v>
      </c>
      <c r="K13" t="s">
        <v>186</v>
      </c>
      <c r="P13" t="s">
        <v>185</v>
      </c>
      <c r="Q13" s="73">
        <v>31</v>
      </c>
      <c r="R13" s="73">
        <v>-11</v>
      </c>
    </row>
    <row r="14" spans="1:18" x14ac:dyDescent="0.2">
      <c r="A14" t="s">
        <v>204</v>
      </c>
      <c r="B14" t="s">
        <v>16</v>
      </c>
      <c r="C14">
        <v>12</v>
      </c>
      <c r="D14">
        <v>-0.1074999999999999</v>
      </c>
      <c r="E14">
        <v>20</v>
      </c>
      <c r="F14">
        <v>36.200000000000003</v>
      </c>
      <c r="G14">
        <v>9</v>
      </c>
      <c r="H14">
        <v>20</v>
      </c>
      <c r="I14">
        <v>20</v>
      </c>
      <c r="K14" t="s">
        <v>194</v>
      </c>
      <c r="P14" t="s">
        <v>199</v>
      </c>
      <c r="Q14" s="73">
        <v>32</v>
      </c>
      <c r="R14" s="73">
        <v>-12</v>
      </c>
    </row>
    <row r="15" spans="1:18" x14ac:dyDescent="0.2">
      <c r="A15" t="s">
        <v>205</v>
      </c>
      <c r="B15" t="s">
        <v>181</v>
      </c>
      <c r="C15">
        <v>1</v>
      </c>
      <c r="D15">
        <v>-2.58</v>
      </c>
      <c r="E15">
        <v>29</v>
      </c>
      <c r="F15">
        <v>46.69</v>
      </c>
      <c r="G15">
        <v>15.08</v>
      </c>
      <c r="H15">
        <v>29</v>
      </c>
      <c r="I15">
        <v>29</v>
      </c>
      <c r="K15" t="s">
        <v>196</v>
      </c>
      <c r="P15" t="s">
        <v>192</v>
      </c>
      <c r="Q15" s="73">
        <v>30</v>
      </c>
      <c r="R15" s="73">
        <v>-15</v>
      </c>
    </row>
    <row r="16" spans="1:18" x14ac:dyDescent="0.2">
      <c r="A16" t="s">
        <v>206</v>
      </c>
      <c r="B16" t="s">
        <v>181</v>
      </c>
      <c r="C16">
        <v>2</v>
      </c>
      <c r="D16">
        <v>-0.375</v>
      </c>
      <c r="E16">
        <v>52</v>
      </c>
      <c r="F16">
        <v>75.399999999999991</v>
      </c>
      <c r="G16">
        <v>23.4</v>
      </c>
      <c r="H16">
        <v>50.96</v>
      </c>
      <c r="I16">
        <v>50.96</v>
      </c>
    </row>
    <row r="17" spans="1:9" x14ac:dyDescent="0.2">
      <c r="A17" t="s">
        <v>207</v>
      </c>
      <c r="B17" t="s">
        <v>181</v>
      </c>
      <c r="C17">
        <v>3</v>
      </c>
      <c r="D17">
        <v>4.13</v>
      </c>
      <c r="E17">
        <v>95</v>
      </c>
      <c r="F17">
        <v>118.75</v>
      </c>
      <c r="G17">
        <v>49.4</v>
      </c>
      <c r="H17">
        <v>91.2</v>
      </c>
      <c r="I17">
        <v>91.2</v>
      </c>
    </row>
    <row r="18" spans="1:9" x14ac:dyDescent="0.2">
      <c r="A18" t="s">
        <v>208</v>
      </c>
      <c r="B18" t="s">
        <v>181</v>
      </c>
      <c r="C18">
        <v>4</v>
      </c>
      <c r="D18">
        <v>9.7349999999999994</v>
      </c>
      <c r="E18">
        <v>138</v>
      </c>
      <c r="F18">
        <v>150.41999999999999</v>
      </c>
      <c r="G18">
        <v>93.84</v>
      </c>
      <c r="H18">
        <v>129.72</v>
      </c>
      <c r="I18">
        <v>129.72</v>
      </c>
    </row>
    <row r="19" spans="1:9" x14ac:dyDescent="0.2">
      <c r="A19" t="s">
        <v>209</v>
      </c>
      <c r="B19" t="s">
        <v>181</v>
      </c>
      <c r="C19">
        <v>5</v>
      </c>
      <c r="D19">
        <v>14.635</v>
      </c>
      <c r="E19">
        <v>172</v>
      </c>
      <c r="F19">
        <v>173.72</v>
      </c>
      <c r="G19">
        <v>135.88</v>
      </c>
      <c r="H19">
        <v>161.68</v>
      </c>
      <c r="I19">
        <v>161.68</v>
      </c>
    </row>
    <row r="20" spans="1:9" x14ac:dyDescent="0.2">
      <c r="A20" t="s">
        <v>210</v>
      </c>
      <c r="B20" t="s">
        <v>181</v>
      </c>
      <c r="C20">
        <v>6</v>
      </c>
      <c r="D20">
        <v>17.637499999999999</v>
      </c>
      <c r="E20">
        <v>180</v>
      </c>
      <c r="F20">
        <v>174.6</v>
      </c>
      <c r="G20">
        <v>147.6</v>
      </c>
      <c r="H20">
        <v>167.4</v>
      </c>
      <c r="I20">
        <v>167.4</v>
      </c>
    </row>
    <row r="21" spans="1:9" x14ac:dyDescent="0.2">
      <c r="A21" t="s">
        <v>211</v>
      </c>
      <c r="B21" t="s">
        <v>181</v>
      </c>
      <c r="C21">
        <v>7</v>
      </c>
      <c r="D21">
        <v>19.237500000000001</v>
      </c>
      <c r="E21">
        <v>179</v>
      </c>
      <c r="F21">
        <v>175.42</v>
      </c>
      <c r="G21">
        <v>144.99</v>
      </c>
      <c r="H21">
        <v>166.47</v>
      </c>
      <c r="I21">
        <v>166.47</v>
      </c>
    </row>
    <row r="22" spans="1:9" x14ac:dyDescent="0.2">
      <c r="A22" t="s">
        <v>212</v>
      </c>
      <c r="B22" t="s">
        <v>181</v>
      </c>
      <c r="C22">
        <v>8</v>
      </c>
      <c r="D22">
        <v>18.637499999999999</v>
      </c>
      <c r="E22">
        <v>155</v>
      </c>
      <c r="F22">
        <v>161.19999999999999</v>
      </c>
      <c r="G22">
        <v>113.15</v>
      </c>
      <c r="H22">
        <v>145.69999999999999</v>
      </c>
      <c r="I22">
        <v>145.69999999999999</v>
      </c>
    </row>
    <row r="23" spans="1:9" x14ac:dyDescent="0.2">
      <c r="A23" t="s">
        <v>213</v>
      </c>
      <c r="B23" t="s">
        <v>181</v>
      </c>
      <c r="C23">
        <v>9</v>
      </c>
      <c r="D23">
        <v>14.432499999999999</v>
      </c>
      <c r="E23">
        <v>120</v>
      </c>
      <c r="F23">
        <v>140.4</v>
      </c>
      <c r="G23">
        <v>70.8</v>
      </c>
      <c r="H23">
        <v>114</v>
      </c>
      <c r="I23">
        <v>114</v>
      </c>
    </row>
    <row r="24" spans="1:9" x14ac:dyDescent="0.2">
      <c r="A24" t="s">
        <v>214</v>
      </c>
      <c r="B24" t="s">
        <v>181</v>
      </c>
      <c r="C24">
        <v>10</v>
      </c>
      <c r="D24">
        <v>9.2249999999999996</v>
      </c>
      <c r="E24">
        <v>73</v>
      </c>
      <c r="F24">
        <v>97.09</v>
      </c>
      <c r="G24">
        <v>32.85</v>
      </c>
      <c r="H24">
        <v>70.08</v>
      </c>
      <c r="I24">
        <v>70.08</v>
      </c>
    </row>
    <row r="25" spans="1:9" x14ac:dyDescent="0.2">
      <c r="A25" t="s">
        <v>215</v>
      </c>
      <c r="B25" t="s">
        <v>181</v>
      </c>
      <c r="C25">
        <v>11</v>
      </c>
      <c r="D25">
        <v>3.8224999999999998</v>
      </c>
      <c r="E25">
        <v>34</v>
      </c>
      <c r="F25">
        <v>51.68</v>
      </c>
      <c r="G25">
        <v>15.98</v>
      </c>
      <c r="H25">
        <v>32.979999999999997</v>
      </c>
      <c r="I25">
        <v>32.979999999999997</v>
      </c>
    </row>
    <row r="26" spans="1:9" x14ac:dyDescent="0.2">
      <c r="A26" t="s">
        <v>216</v>
      </c>
      <c r="B26" t="s">
        <v>181</v>
      </c>
      <c r="C26">
        <v>12</v>
      </c>
      <c r="D26">
        <v>-0.77749999999999997</v>
      </c>
      <c r="E26">
        <v>30</v>
      </c>
      <c r="F26">
        <v>52.8</v>
      </c>
      <c r="G26">
        <v>14.4</v>
      </c>
      <c r="H26">
        <v>29.7</v>
      </c>
      <c r="I26">
        <v>29.7</v>
      </c>
    </row>
    <row r="27" spans="1:9" x14ac:dyDescent="0.2">
      <c r="A27" t="s">
        <v>217</v>
      </c>
      <c r="B27" t="s">
        <v>185</v>
      </c>
      <c r="C27">
        <v>1</v>
      </c>
      <c r="D27">
        <v>-2.5680000000000001</v>
      </c>
      <c r="E27">
        <v>26</v>
      </c>
      <c r="F27">
        <v>41.86</v>
      </c>
      <c r="G27">
        <v>13.52</v>
      </c>
      <c r="H27">
        <v>26</v>
      </c>
      <c r="I27">
        <v>26</v>
      </c>
    </row>
    <row r="28" spans="1:9" x14ac:dyDescent="0.2">
      <c r="A28" t="s">
        <v>218</v>
      </c>
      <c r="B28" t="s">
        <v>185</v>
      </c>
      <c r="C28">
        <v>2</v>
      </c>
      <c r="D28">
        <v>-0.36</v>
      </c>
      <c r="E28">
        <v>50</v>
      </c>
      <c r="F28">
        <v>72.5</v>
      </c>
      <c r="G28">
        <v>22.5</v>
      </c>
      <c r="H28">
        <v>49</v>
      </c>
      <c r="I28">
        <v>49</v>
      </c>
    </row>
    <row r="29" spans="1:9" x14ac:dyDescent="0.2">
      <c r="A29" t="s">
        <v>219</v>
      </c>
      <c r="B29" t="s">
        <v>185</v>
      </c>
      <c r="C29">
        <v>3</v>
      </c>
      <c r="D29">
        <v>4.1479999999999997</v>
      </c>
      <c r="E29">
        <v>90</v>
      </c>
      <c r="F29">
        <v>112.5</v>
      </c>
      <c r="G29">
        <v>46.8</v>
      </c>
      <c r="H29">
        <v>86.399999999999991</v>
      </c>
      <c r="I29">
        <v>86.399999999999991</v>
      </c>
    </row>
    <row r="30" spans="1:9" x14ac:dyDescent="0.2">
      <c r="A30" t="s">
        <v>220</v>
      </c>
      <c r="B30" t="s">
        <v>185</v>
      </c>
      <c r="C30">
        <v>4</v>
      </c>
      <c r="D30">
        <v>9.7560000000000002</v>
      </c>
      <c r="E30">
        <v>134</v>
      </c>
      <c r="F30">
        <v>146.06</v>
      </c>
      <c r="G30">
        <v>91.12</v>
      </c>
      <c r="H30">
        <v>125.96</v>
      </c>
      <c r="I30">
        <v>125.96</v>
      </c>
    </row>
    <row r="31" spans="1:9" x14ac:dyDescent="0.2">
      <c r="A31" t="s">
        <v>221</v>
      </c>
      <c r="B31" t="s">
        <v>185</v>
      </c>
      <c r="C31">
        <v>5</v>
      </c>
      <c r="D31">
        <v>14.656000000000001</v>
      </c>
      <c r="E31">
        <v>170</v>
      </c>
      <c r="F31">
        <v>171.7</v>
      </c>
      <c r="G31">
        <v>134.30000000000001</v>
      </c>
      <c r="H31">
        <v>159.80000000000001</v>
      </c>
      <c r="I31">
        <v>159.80000000000001</v>
      </c>
    </row>
    <row r="32" spans="1:9" x14ac:dyDescent="0.2">
      <c r="A32" t="s">
        <v>222</v>
      </c>
      <c r="B32" t="s">
        <v>185</v>
      </c>
      <c r="C32">
        <v>6</v>
      </c>
      <c r="D32">
        <v>17.66</v>
      </c>
      <c r="E32">
        <v>178</v>
      </c>
      <c r="F32">
        <v>172.66</v>
      </c>
      <c r="G32">
        <v>145.96</v>
      </c>
      <c r="H32">
        <v>165.54</v>
      </c>
      <c r="I32">
        <v>165.54</v>
      </c>
    </row>
    <row r="33" spans="1:9" x14ac:dyDescent="0.2">
      <c r="A33" t="s">
        <v>223</v>
      </c>
      <c r="B33" t="s">
        <v>185</v>
      </c>
      <c r="C33">
        <v>7</v>
      </c>
      <c r="D33">
        <v>19.260000000000002</v>
      </c>
      <c r="E33">
        <v>166</v>
      </c>
      <c r="F33">
        <v>162.68</v>
      </c>
      <c r="G33">
        <v>134.46</v>
      </c>
      <c r="H33">
        <v>154.38</v>
      </c>
      <c r="I33">
        <v>154.38</v>
      </c>
    </row>
    <row r="34" spans="1:9" x14ac:dyDescent="0.2">
      <c r="A34" t="s">
        <v>224</v>
      </c>
      <c r="B34" t="s">
        <v>185</v>
      </c>
      <c r="C34">
        <v>8</v>
      </c>
      <c r="D34">
        <v>18.66</v>
      </c>
      <c r="E34">
        <v>149</v>
      </c>
      <c r="F34">
        <v>154.96</v>
      </c>
      <c r="G34">
        <v>108.77</v>
      </c>
      <c r="H34">
        <v>140.06</v>
      </c>
      <c r="I34">
        <v>140.06</v>
      </c>
    </row>
    <row r="35" spans="1:9" x14ac:dyDescent="0.2">
      <c r="A35" t="s">
        <v>225</v>
      </c>
      <c r="B35" t="s">
        <v>185</v>
      </c>
      <c r="C35">
        <v>9</v>
      </c>
      <c r="D35">
        <v>14.452</v>
      </c>
      <c r="E35">
        <v>106</v>
      </c>
      <c r="F35">
        <v>124.02</v>
      </c>
      <c r="G35">
        <v>62.54</v>
      </c>
      <c r="H35">
        <v>100.7</v>
      </c>
      <c r="I35">
        <v>100.7</v>
      </c>
    </row>
    <row r="36" spans="1:9" x14ac:dyDescent="0.2">
      <c r="A36" t="s">
        <v>226</v>
      </c>
      <c r="B36" t="s">
        <v>185</v>
      </c>
      <c r="C36">
        <v>10</v>
      </c>
      <c r="D36">
        <v>9.2399999999999984</v>
      </c>
      <c r="E36">
        <v>62</v>
      </c>
      <c r="F36">
        <v>82.460000000000008</v>
      </c>
      <c r="G36">
        <v>27.9</v>
      </c>
      <c r="H36">
        <v>59.52</v>
      </c>
      <c r="I36">
        <v>59.52</v>
      </c>
    </row>
    <row r="37" spans="1:9" x14ac:dyDescent="0.2">
      <c r="A37" t="s">
        <v>227</v>
      </c>
      <c r="B37" t="s">
        <v>185</v>
      </c>
      <c r="C37">
        <v>11</v>
      </c>
      <c r="D37">
        <v>3.8359999999999999</v>
      </c>
      <c r="E37">
        <v>30</v>
      </c>
      <c r="F37">
        <v>45.6</v>
      </c>
      <c r="G37">
        <v>14.1</v>
      </c>
      <c r="H37">
        <v>29.1</v>
      </c>
      <c r="I37">
        <v>29.1</v>
      </c>
    </row>
    <row r="38" spans="1:9" x14ac:dyDescent="0.2">
      <c r="A38" t="s">
        <v>228</v>
      </c>
      <c r="B38" t="s">
        <v>185</v>
      </c>
      <c r="C38">
        <v>12</v>
      </c>
      <c r="D38">
        <v>-0.7639999999999999</v>
      </c>
      <c r="E38">
        <v>21</v>
      </c>
      <c r="F38">
        <v>36.96</v>
      </c>
      <c r="G38">
        <v>10.08</v>
      </c>
      <c r="H38">
        <v>20.79</v>
      </c>
      <c r="I38">
        <v>20.79</v>
      </c>
    </row>
    <row r="39" spans="1:9" x14ac:dyDescent="0.2">
      <c r="A39" t="s">
        <v>229</v>
      </c>
      <c r="B39" t="s">
        <v>188</v>
      </c>
      <c r="C39">
        <v>1</v>
      </c>
      <c r="D39">
        <v>-1.752</v>
      </c>
      <c r="E39">
        <v>26</v>
      </c>
      <c r="F39">
        <v>42.12</v>
      </c>
      <c r="G39">
        <v>13</v>
      </c>
      <c r="H39">
        <v>26</v>
      </c>
      <c r="I39">
        <v>26</v>
      </c>
    </row>
    <row r="40" spans="1:9" x14ac:dyDescent="0.2">
      <c r="A40" t="s">
        <v>230</v>
      </c>
      <c r="B40" t="s">
        <v>188</v>
      </c>
      <c r="C40">
        <v>2</v>
      </c>
      <c r="D40">
        <v>0.48499999999999999</v>
      </c>
      <c r="E40">
        <v>49</v>
      </c>
      <c r="F40">
        <v>71.539999999999992</v>
      </c>
      <c r="G40">
        <v>21.07</v>
      </c>
      <c r="H40">
        <v>48.51</v>
      </c>
      <c r="I40">
        <v>48.51</v>
      </c>
    </row>
    <row r="41" spans="1:9" x14ac:dyDescent="0.2">
      <c r="A41" t="s">
        <v>231</v>
      </c>
      <c r="B41" t="s">
        <v>188</v>
      </c>
      <c r="C41">
        <v>3</v>
      </c>
      <c r="D41">
        <v>5.2220000000000004</v>
      </c>
      <c r="E41">
        <v>88</v>
      </c>
      <c r="F41">
        <v>110.88</v>
      </c>
      <c r="G41">
        <v>44.88</v>
      </c>
      <c r="H41">
        <v>84.47999999999999</v>
      </c>
      <c r="I41">
        <v>84.47999999999999</v>
      </c>
    </row>
    <row r="42" spans="1:9" x14ac:dyDescent="0.2">
      <c r="A42" t="s">
        <v>232</v>
      </c>
      <c r="B42" t="s">
        <v>188</v>
      </c>
      <c r="C42">
        <v>4</v>
      </c>
      <c r="D42">
        <v>10.558999999999999</v>
      </c>
      <c r="E42">
        <v>136</v>
      </c>
      <c r="F42">
        <v>149.6</v>
      </c>
      <c r="G42">
        <v>92.48</v>
      </c>
      <c r="H42">
        <v>127.84</v>
      </c>
      <c r="I42">
        <v>127.84</v>
      </c>
    </row>
    <row r="43" spans="1:9" x14ac:dyDescent="0.2">
      <c r="A43" t="s">
        <v>233</v>
      </c>
      <c r="B43" t="s">
        <v>188</v>
      </c>
      <c r="C43">
        <v>5</v>
      </c>
      <c r="D43">
        <v>15.459</v>
      </c>
      <c r="E43">
        <v>167</v>
      </c>
      <c r="F43">
        <v>168.67</v>
      </c>
      <c r="G43">
        <v>131.93</v>
      </c>
      <c r="H43">
        <v>156.97999999999999</v>
      </c>
      <c r="I43">
        <v>156.97999999999999</v>
      </c>
    </row>
    <row r="44" spans="1:9" x14ac:dyDescent="0.2">
      <c r="A44" t="s">
        <v>234</v>
      </c>
      <c r="B44" t="s">
        <v>188</v>
      </c>
      <c r="C44">
        <v>6</v>
      </c>
      <c r="D44">
        <v>18.477499999999999</v>
      </c>
      <c r="E44">
        <v>181</v>
      </c>
      <c r="F44">
        <v>175.57</v>
      </c>
      <c r="G44">
        <v>148.41999999999999</v>
      </c>
      <c r="H44">
        <v>168.33</v>
      </c>
      <c r="I44">
        <v>168.33</v>
      </c>
    </row>
    <row r="45" spans="1:9" x14ac:dyDescent="0.2">
      <c r="A45" t="s">
        <v>235</v>
      </c>
      <c r="B45" t="s">
        <v>188</v>
      </c>
      <c r="C45">
        <v>7</v>
      </c>
      <c r="D45">
        <v>20.177499999999998</v>
      </c>
      <c r="E45">
        <v>174</v>
      </c>
      <c r="F45">
        <v>170.52</v>
      </c>
      <c r="G45">
        <v>140.94</v>
      </c>
      <c r="H45">
        <v>161.82</v>
      </c>
      <c r="I45">
        <v>161.82</v>
      </c>
    </row>
    <row r="46" spans="1:9" x14ac:dyDescent="0.2">
      <c r="A46" t="s">
        <v>236</v>
      </c>
      <c r="B46" t="s">
        <v>188</v>
      </c>
      <c r="C46">
        <v>8</v>
      </c>
      <c r="D46">
        <v>19.577500000000001</v>
      </c>
      <c r="E46">
        <v>151</v>
      </c>
      <c r="F46">
        <v>158.55000000000001</v>
      </c>
      <c r="G46">
        <v>110.23</v>
      </c>
      <c r="H46">
        <v>140.43</v>
      </c>
      <c r="I46">
        <v>140.43</v>
      </c>
    </row>
    <row r="47" spans="1:9" x14ac:dyDescent="0.2">
      <c r="A47" t="s">
        <v>237</v>
      </c>
      <c r="B47" t="s">
        <v>188</v>
      </c>
      <c r="C47">
        <v>9</v>
      </c>
      <c r="D47">
        <v>15.240500000000001</v>
      </c>
      <c r="E47">
        <v>111</v>
      </c>
      <c r="F47">
        <v>130.97999999999999</v>
      </c>
      <c r="G47">
        <v>64.38</v>
      </c>
      <c r="H47">
        <v>105.45</v>
      </c>
      <c r="I47">
        <v>105.45</v>
      </c>
    </row>
    <row r="48" spans="1:9" x14ac:dyDescent="0.2">
      <c r="A48" t="s">
        <v>238</v>
      </c>
      <c r="B48" t="s">
        <v>188</v>
      </c>
      <c r="C48">
        <v>10</v>
      </c>
      <c r="D48">
        <v>9.8849999999999998</v>
      </c>
      <c r="E48">
        <v>64</v>
      </c>
      <c r="F48">
        <v>86.4</v>
      </c>
      <c r="G48">
        <v>27.52</v>
      </c>
      <c r="H48">
        <v>61.44</v>
      </c>
      <c r="I48">
        <v>61.44</v>
      </c>
    </row>
    <row r="49" spans="1:9" x14ac:dyDescent="0.2">
      <c r="A49" t="s">
        <v>239</v>
      </c>
      <c r="B49" t="s">
        <v>188</v>
      </c>
      <c r="C49">
        <v>11</v>
      </c>
      <c r="D49">
        <v>4.3664999999999994</v>
      </c>
      <c r="E49">
        <v>30</v>
      </c>
      <c r="F49">
        <v>45.9</v>
      </c>
      <c r="G49">
        <v>13.5</v>
      </c>
      <c r="H49">
        <v>29.4</v>
      </c>
      <c r="I49">
        <v>29.4</v>
      </c>
    </row>
    <row r="50" spans="1:9" x14ac:dyDescent="0.2">
      <c r="A50" t="s">
        <v>240</v>
      </c>
      <c r="B50" t="s">
        <v>188</v>
      </c>
      <c r="C50">
        <v>12</v>
      </c>
      <c r="D50">
        <v>-0.2334999999999999</v>
      </c>
      <c r="E50">
        <v>20</v>
      </c>
      <c r="F50">
        <v>36.200000000000003</v>
      </c>
      <c r="G50">
        <v>9</v>
      </c>
      <c r="H50">
        <v>20</v>
      </c>
      <c r="I50">
        <v>20</v>
      </c>
    </row>
    <row r="51" spans="1:9" x14ac:dyDescent="0.2">
      <c r="A51" t="s">
        <v>241</v>
      </c>
      <c r="B51" t="s">
        <v>192</v>
      </c>
      <c r="C51">
        <v>1</v>
      </c>
      <c r="D51">
        <v>-3.26</v>
      </c>
      <c r="E51">
        <v>24</v>
      </c>
      <c r="F51">
        <v>38.64</v>
      </c>
      <c r="G51">
        <v>12.48</v>
      </c>
      <c r="H51">
        <v>24</v>
      </c>
      <c r="I51">
        <v>24</v>
      </c>
    </row>
    <row r="52" spans="1:9" x14ac:dyDescent="0.2">
      <c r="A52" t="s">
        <v>242</v>
      </c>
      <c r="B52" t="s">
        <v>192</v>
      </c>
      <c r="C52">
        <v>2</v>
      </c>
      <c r="D52">
        <v>-1.2250000000000001</v>
      </c>
      <c r="E52">
        <v>48</v>
      </c>
      <c r="F52">
        <v>69.599999999999994</v>
      </c>
      <c r="G52">
        <v>21.6</v>
      </c>
      <c r="H52">
        <v>47.04</v>
      </c>
      <c r="I52">
        <v>47.04</v>
      </c>
    </row>
    <row r="53" spans="1:9" x14ac:dyDescent="0.2">
      <c r="A53" t="s">
        <v>243</v>
      </c>
      <c r="B53" t="s">
        <v>192</v>
      </c>
      <c r="C53">
        <v>3</v>
      </c>
      <c r="D53">
        <v>3.11</v>
      </c>
      <c r="E53">
        <v>84</v>
      </c>
      <c r="F53">
        <v>105</v>
      </c>
      <c r="G53">
        <v>43.68</v>
      </c>
      <c r="H53">
        <v>80.64</v>
      </c>
      <c r="I53">
        <v>80.64</v>
      </c>
    </row>
    <row r="54" spans="1:9" x14ac:dyDescent="0.2">
      <c r="A54" t="s">
        <v>244</v>
      </c>
      <c r="B54" t="s">
        <v>192</v>
      </c>
      <c r="C54">
        <v>4</v>
      </c>
      <c r="D54">
        <v>8.5449999999999999</v>
      </c>
      <c r="E54">
        <v>124</v>
      </c>
      <c r="F54">
        <v>135.16</v>
      </c>
      <c r="G54">
        <v>84.320000000000007</v>
      </c>
      <c r="H54">
        <v>116.56</v>
      </c>
      <c r="I54">
        <v>116.56</v>
      </c>
    </row>
    <row r="55" spans="1:9" x14ac:dyDescent="0.2">
      <c r="A55" t="s">
        <v>245</v>
      </c>
      <c r="B55" t="s">
        <v>192</v>
      </c>
      <c r="C55">
        <v>5</v>
      </c>
      <c r="D55">
        <v>13.445</v>
      </c>
      <c r="E55">
        <v>153</v>
      </c>
      <c r="F55">
        <v>154.53</v>
      </c>
      <c r="G55">
        <v>120.87</v>
      </c>
      <c r="H55">
        <v>143.82</v>
      </c>
      <c r="I55">
        <v>143.82</v>
      </c>
    </row>
    <row r="56" spans="1:9" x14ac:dyDescent="0.2">
      <c r="A56" t="s">
        <v>246</v>
      </c>
      <c r="B56" t="s">
        <v>192</v>
      </c>
      <c r="C56">
        <v>6</v>
      </c>
      <c r="D56">
        <v>16.362500000000001</v>
      </c>
      <c r="E56">
        <v>162</v>
      </c>
      <c r="F56">
        <v>157.13999999999999</v>
      </c>
      <c r="G56">
        <v>132.84</v>
      </c>
      <c r="H56">
        <v>150.66</v>
      </c>
      <c r="I56">
        <v>150.66</v>
      </c>
    </row>
    <row r="57" spans="1:9" x14ac:dyDescent="0.2">
      <c r="A57" t="s">
        <v>247</v>
      </c>
      <c r="B57" t="s">
        <v>192</v>
      </c>
      <c r="C57">
        <v>7</v>
      </c>
      <c r="D57">
        <v>17.962499999999999</v>
      </c>
      <c r="E57">
        <v>156</v>
      </c>
      <c r="F57">
        <v>152.88</v>
      </c>
      <c r="G57">
        <v>126.36</v>
      </c>
      <c r="H57">
        <v>145.08000000000001</v>
      </c>
      <c r="I57">
        <v>145.08000000000001</v>
      </c>
    </row>
    <row r="58" spans="1:9" x14ac:dyDescent="0.2">
      <c r="A58" t="s">
        <v>248</v>
      </c>
      <c r="B58" t="s">
        <v>192</v>
      </c>
      <c r="C58">
        <v>8</v>
      </c>
      <c r="D58">
        <v>17.362500000000001</v>
      </c>
      <c r="E58">
        <v>134</v>
      </c>
      <c r="F58">
        <v>139.36000000000001</v>
      </c>
      <c r="G58">
        <v>97.82</v>
      </c>
      <c r="H58">
        <v>125.96</v>
      </c>
      <c r="I58">
        <v>125.96</v>
      </c>
    </row>
    <row r="59" spans="1:9" x14ac:dyDescent="0.2">
      <c r="A59" t="s">
        <v>249</v>
      </c>
      <c r="B59" t="s">
        <v>192</v>
      </c>
      <c r="C59">
        <v>9</v>
      </c>
      <c r="D59">
        <v>13.327500000000001</v>
      </c>
      <c r="E59">
        <v>100</v>
      </c>
      <c r="F59">
        <v>117</v>
      </c>
      <c r="G59">
        <v>59</v>
      </c>
      <c r="H59">
        <v>95</v>
      </c>
      <c r="I59">
        <v>95</v>
      </c>
    </row>
    <row r="60" spans="1:9" x14ac:dyDescent="0.2">
      <c r="A60" t="s">
        <v>250</v>
      </c>
      <c r="B60" t="s">
        <v>192</v>
      </c>
      <c r="C60">
        <v>10</v>
      </c>
      <c r="D60">
        <v>8.375</v>
      </c>
      <c r="E60">
        <v>59</v>
      </c>
      <c r="F60">
        <v>78.47</v>
      </c>
      <c r="G60">
        <v>26.55</v>
      </c>
      <c r="H60">
        <v>56.64</v>
      </c>
      <c r="I60">
        <v>56.64</v>
      </c>
    </row>
    <row r="61" spans="1:9" x14ac:dyDescent="0.2">
      <c r="A61" t="s">
        <v>251</v>
      </c>
      <c r="B61" t="s">
        <v>192</v>
      </c>
      <c r="C61">
        <v>11</v>
      </c>
      <c r="D61">
        <v>3.0575000000000001</v>
      </c>
      <c r="E61">
        <v>29</v>
      </c>
      <c r="F61">
        <v>44.08</v>
      </c>
      <c r="G61">
        <v>13.63</v>
      </c>
      <c r="H61">
        <v>28.13</v>
      </c>
      <c r="I61">
        <v>28.13</v>
      </c>
    </row>
    <row r="62" spans="1:9" x14ac:dyDescent="0.2">
      <c r="A62" t="s">
        <v>252</v>
      </c>
      <c r="B62" t="s">
        <v>192</v>
      </c>
      <c r="C62">
        <v>12</v>
      </c>
      <c r="D62">
        <v>-1.5425</v>
      </c>
      <c r="E62">
        <v>17</v>
      </c>
      <c r="F62">
        <v>29.92</v>
      </c>
      <c r="G62">
        <v>8.16</v>
      </c>
      <c r="H62">
        <v>16.829999999999998</v>
      </c>
      <c r="I62">
        <v>16.829999999999998</v>
      </c>
    </row>
    <row r="63" spans="1:9" x14ac:dyDescent="0.2">
      <c r="A63" t="s">
        <v>253</v>
      </c>
      <c r="B63" t="s">
        <v>190</v>
      </c>
      <c r="C63">
        <v>1</v>
      </c>
      <c r="D63">
        <v>-3.6720000000000002</v>
      </c>
      <c r="E63">
        <v>28</v>
      </c>
      <c r="F63">
        <v>45.080000000000013</v>
      </c>
      <c r="G63">
        <v>14.56</v>
      </c>
      <c r="H63">
        <v>28</v>
      </c>
      <c r="I63">
        <v>28</v>
      </c>
    </row>
    <row r="64" spans="1:9" x14ac:dyDescent="0.2">
      <c r="A64" t="s">
        <v>254</v>
      </c>
      <c r="B64" t="s">
        <v>190</v>
      </c>
      <c r="C64">
        <v>2</v>
      </c>
      <c r="D64">
        <v>-1.74</v>
      </c>
      <c r="E64">
        <v>51</v>
      </c>
      <c r="F64">
        <v>73.95</v>
      </c>
      <c r="G64">
        <v>22.95</v>
      </c>
      <c r="H64">
        <v>49.98</v>
      </c>
      <c r="I64">
        <v>49.98</v>
      </c>
    </row>
    <row r="65" spans="1:9" x14ac:dyDescent="0.2">
      <c r="A65" t="s">
        <v>255</v>
      </c>
      <c r="B65" t="s">
        <v>190</v>
      </c>
      <c r="C65">
        <v>3</v>
      </c>
      <c r="D65">
        <v>2.492</v>
      </c>
      <c r="E65">
        <v>86</v>
      </c>
      <c r="F65">
        <v>107.5</v>
      </c>
      <c r="G65">
        <v>44.72</v>
      </c>
      <c r="H65">
        <v>82.56</v>
      </c>
      <c r="I65">
        <v>82.56</v>
      </c>
    </row>
    <row r="66" spans="1:9" x14ac:dyDescent="0.2">
      <c r="A66" t="s">
        <v>256</v>
      </c>
      <c r="B66" t="s">
        <v>190</v>
      </c>
      <c r="C66">
        <v>4</v>
      </c>
      <c r="D66">
        <v>7.8239999999999998</v>
      </c>
      <c r="E66">
        <v>127</v>
      </c>
      <c r="F66">
        <v>138.43</v>
      </c>
      <c r="G66">
        <v>86.36</v>
      </c>
      <c r="H66">
        <v>119.38</v>
      </c>
      <c r="I66">
        <v>119.38</v>
      </c>
    </row>
    <row r="67" spans="1:9" x14ac:dyDescent="0.2">
      <c r="A67" t="s">
        <v>257</v>
      </c>
      <c r="B67" t="s">
        <v>190</v>
      </c>
      <c r="C67">
        <v>5</v>
      </c>
      <c r="D67">
        <v>12.724</v>
      </c>
      <c r="E67">
        <v>150</v>
      </c>
      <c r="F67">
        <v>151.5</v>
      </c>
      <c r="G67">
        <v>118.5</v>
      </c>
      <c r="H67">
        <v>141</v>
      </c>
      <c r="I67">
        <v>141</v>
      </c>
    </row>
    <row r="68" spans="1:9" x14ac:dyDescent="0.2">
      <c r="A68" t="s">
        <v>258</v>
      </c>
      <c r="B68" t="s">
        <v>190</v>
      </c>
      <c r="C68">
        <v>6</v>
      </c>
      <c r="D68">
        <v>15.59</v>
      </c>
      <c r="E68">
        <v>157</v>
      </c>
      <c r="F68">
        <v>152.29</v>
      </c>
      <c r="G68">
        <v>128.74</v>
      </c>
      <c r="H68">
        <v>146.01</v>
      </c>
      <c r="I68">
        <v>146.01</v>
      </c>
    </row>
    <row r="69" spans="1:9" x14ac:dyDescent="0.2">
      <c r="A69" t="s">
        <v>259</v>
      </c>
      <c r="B69" t="s">
        <v>190</v>
      </c>
      <c r="C69">
        <v>7</v>
      </c>
      <c r="D69">
        <v>17.190000000000001</v>
      </c>
      <c r="E69">
        <v>151</v>
      </c>
      <c r="F69">
        <v>147.97999999999999</v>
      </c>
      <c r="G69">
        <v>122.31</v>
      </c>
      <c r="H69">
        <v>140.43</v>
      </c>
      <c r="I69">
        <v>140.43</v>
      </c>
    </row>
    <row r="70" spans="1:9" x14ac:dyDescent="0.2">
      <c r="A70" t="s">
        <v>260</v>
      </c>
      <c r="B70" t="s">
        <v>190</v>
      </c>
      <c r="C70">
        <v>8</v>
      </c>
      <c r="D70">
        <v>16.59</v>
      </c>
      <c r="E70">
        <v>121</v>
      </c>
      <c r="F70">
        <v>125.84</v>
      </c>
      <c r="G70">
        <v>88.33</v>
      </c>
      <c r="H70">
        <v>113.74</v>
      </c>
      <c r="I70">
        <v>113.74</v>
      </c>
    </row>
    <row r="71" spans="1:9" x14ac:dyDescent="0.2">
      <c r="A71" t="s">
        <v>261</v>
      </c>
      <c r="B71" t="s">
        <v>190</v>
      </c>
      <c r="C71">
        <v>9</v>
      </c>
      <c r="D71">
        <v>12.657999999999999</v>
      </c>
      <c r="E71">
        <v>97</v>
      </c>
      <c r="F71">
        <v>113.49</v>
      </c>
      <c r="G71">
        <v>57.23</v>
      </c>
      <c r="H71">
        <v>92.149999999999991</v>
      </c>
      <c r="I71">
        <v>92.149999999999991</v>
      </c>
    </row>
    <row r="72" spans="1:9" x14ac:dyDescent="0.2">
      <c r="A72" t="s">
        <v>262</v>
      </c>
      <c r="B72" t="s">
        <v>190</v>
      </c>
      <c r="C72">
        <v>10</v>
      </c>
      <c r="D72">
        <v>7.8599999999999994</v>
      </c>
      <c r="E72">
        <v>58</v>
      </c>
      <c r="F72">
        <v>77.14</v>
      </c>
      <c r="G72">
        <v>26.1</v>
      </c>
      <c r="H72">
        <v>55.68</v>
      </c>
      <c r="I72">
        <v>55.68</v>
      </c>
    </row>
    <row r="73" spans="1:9" x14ac:dyDescent="0.2">
      <c r="A73" t="s">
        <v>263</v>
      </c>
      <c r="B73" t="s">
        <v>190</v>
      </c>
      <c r="C73">
        <v>11</v>
      </c>
      <c r="D73">
        <v>2.5939999999999999</v>
      </c>
      <c r="E73">
        <v>30</v>
      </c>
      <c r="F73">
        <v>45.6</v>
      </c>
      <c r="G73">
        <v>14.1</v>
      </c>
      <c r="H73">
        <v>29.1</v>
      </c>
      <c r="I73">
        <v>29.1</v>
      </c>
    </row>
    <row r="74" spans="1:9" x14ac:dyDescent="0.2">
      <c r="A74" t="s">
        <v>264</v>
      </c>
      <c r="B74" t="s">
        <v>190</v>
      </c>
      <c r="C74">
        <v>12</v>
      </c>
      <c r="D74">
        <v>-2.0059999999999998</v>
      </c>
      <c r="E74">
        <v>21</v>
      </c>
      <c r="F74">
        <v>36.96</v>
      </c>
      <c r="G74">
        <v>10.08</v>
      </c>
      <c r="H74">
        <v>20.79</v>
      </c>
      <c r="I74">
        <v>20.79</v>
      </c>
    </row>
    <row r="75" spans="1:9" x14ac:dyDescent="0.2">
      <c r="A75" t="s">
        <v>265</v>
      </c>
      <c r="B75" t="s">
        <v>179</v>
      </c>
      <c r="C75">
        <v>1</v>
      </c>
      <c r="D75">
        <v>-3.516</v>
      </c>
      <c r="E75">
        <v>30</v>
      </c>
      <c r="F75">
        <v>48.3</v>
      </c>
      <c r="G75">
        <v>15.6</v>
      </c>
      <c r="H75">
        <v>30</v>
      </c>
      <c r="I75">
        <v>30</v>
      </c>
    </row>
    <row r="76" spans="1:9" x14ac:dyDescent="0.2">
      <c r="A76" t="s">
        <v>266</v>
      </c>
      <c r="B76" t="s">
        <v>179</v>
      </c>
      <c r="C76">
        <v>2</v>
      </c>
      <c r="D76">
        <v>-1.5449999999999999</v>
      </c>
      <c r="E76">
        <v>55</v>
      </c>
      <c r="F76">
        <v>79.75</v>
      </c>
      <c r="G76">
        <v>24.75</v>
      </c>
      <c r="H76">
        <v>53.9</v>
      </c>
      <c r="I76">
        <v>53.9</v>
      </c>
    </row>
    <row r="77" spans="1:9" x14ac:dyDescent="0.2">
      <c r="A77" t="s">
        <v>267</v>
      </c>
      <c r="B77" t="s">
        <v>179</v>
      </c>
      <c r="C77">
        <v>3</v>
      </c>
      <c r="D77">
        <v>2.726</v>
      </c>
      <c r="E77">
        <v>92</v>
      </c>
      <c r="F77">
        <v>115</v>
      </c>
      <c r="G77">
        <v>47.84</v>
      </c>
      <c r="H77">
        <v>88.32</v>
      </c>
      <c r="I77">
        <v>88.32</v>
      </c>
    </row>
    <row r="78" spans="1:9" x14ac:dyDescent="0.2">
      <c r="A78" t="s">
        <v>268</v>
      </c>
      <c r="B78" t="s">
        <v>179</v>
      </c>
      <c r="C78">
        <v>4</v>
      </c>
      <c r="D78">
        <v>8.0969999999999995</v>
      </c>
      <c r="E78">
        <v>138</v>
      </c>
      <c r="F78">
        <v>150.41999999999999</v>
      </c>
      <c r="G78">
        <v>93.84</v>
      </c>
      <c r="H78">
        <v>129.72</v>
      </c>
      <c r="I78">
        <v>129.72</v>
      </c>
    </row>
    <row r="79" spans="1:9" x14ac:dyDescent="0.2">
      <c r="A79" t="s">
        <v>269</v>
      </c>
      <c r="B79" t="s">
        <v>179</v>
      </c>
      <c r="C79">
        <v>5</v>
      </c>
      <c r="D79">
        <v>12.997</v>
      </c>
      <c r="E79">
        <v>163</v>
      </c>
      <c r="F79">
        <v>164.63</v>
      </c>
      <c r="G79">
        <v>128.77000000000001</v>
      </c>
      <c r="H79">
        <v>153.22</v>
      </c>
      <c r="I79">
        <v>153.22</v>
      </c>
    </row>
    <row r="80" spans="1:9" x14ac:dyDescent="0.2">
      <c r="A80" t="s">
        <v>270</v>
      </c>
      <c r="B80" t="s">
        <v>179</v>
      </c>
      <c r="C80">
        <v>6</v>
      </c>
      <c r="D80">
        <v>15.8825</v>
      </c>
      <c r="E80">
        <v>172</v>
      </c>
      <c r="F80">
        <v>166.84</v>
      </c>
      <c r="G80">
        <v>141.04</v>
      </c>
      <c r="H80">
        <v>159.96</v>
      </c>
      <c r="I80">
        <v>159.96</v>
      </c>
    </row>
    <row r="81" spans="1:9" x14ac:dyDescent="0.2">
      <c r="A81" t="s">
        <v>271</v>
      </c>
      <c r="B81" t="s">
        <v>179</v>
      </c>
      <c r="C81">
        <v>7</v>
      </c>
      <c r="D81">
        <v>17.482500000000002</v>
      </c>
      <c r="E81">
        <v>169</v>
      </c>
      <c r="F81">
        <v>165.62</v>
      </c>
      <c r="G81">
        <v>136.88999999999999</v>
      </c>
      <c r="H81">
        <v>157.16999999999999</v>
      </c>
      <c r="I81">
        <v>157.16999999999999</v>
      </c>
    </row>
    <row r="82" spans="1:9" x14ac:dyDescent="0.2">
      <c r="A82" t="s">
        <v>272</v>
      </c>
      <c r="B82" t="s">
        <v>179</v>
      </c>
      <c r="C82">
        <v>8</v>
      </c>
      <c r="D82">
        <v>16.8825</v>
      </c>
      <c r="E82">
        <v>149</v>
      </c>
      <c r="F82">
        <v>154.96</v>
      </c>
      <c r="G82">
        <v>108.77</v>
      </c>
      <c r="H82">
        <v>140.06</v>
      </c>
      <c r="I82">
        <v>140.06</v>
      </c>
    </row>
    <row r="83" spans="1:9" x14ac:dyDescent="0.2">
      <c r="A83" t="s">
        <v>273</v>
      </c>
      <c r="B83" t="s">
        <v>179</v>
      </c>
      <c r="C83">
        <v>9</v>
      </c>
      <c r="D83">
        <v>12.9115</v>
      </c>
      <c r="E83">
        <v>113</v>
      </c>
      <c r="F83">
        <v>132.21</v>
      </c>
      <c r="G83">
        <v>66.67</v>
      </c>
      <c r="H83">
        <v>107.35</v>
      </c>
      <c r="I83">
        <v>107.35</v>
      </c>
    </row>
    <row r="84" spans="1:9" x14ac:dyDescent="0.2">
      <c r="A84" t="s">
        <v>274</v>
      </c>
      <c r="B84" t="s">
        <v>179</v>
      </c>
      <c r="C84">
        <v>10</v>
      </c>
      <c r="D84">
        <v>8.0549999999999997</v>
      </c>
      <c r="E84">
        <v>66</v>
      </c>
      <c r="F84">
        <v>87.78</v>
      </c>
      <c r="G84">
        <v>29.7</v>
      </c>
      <c r="H84">
        <v>63.36</v>
      </c>
      <c r="I84">
        <v>63.36</v>
      </c>
    </row>
    <row r="85" spans="1:9" x14ac:dyDescent="0.2">
      <c r="A85" t="s">
        <v>275</v>
      </c>
      <c r="B85" t="s">
        <v>179</v>
      </c>
      <c r="C85">
        <v>11</v>
      </c>
      <c r="D85">
        <v>2.7694999999999999</v>
      </c>
      <c r="E85">
        <v>33</v>
      </c>
      <c r="F85">
        <v>50.16</v>
      </c>
      <c r="G85">
        <v>15.51</v>
      </c>
      <c r="H85">
        <v>32.01</v>
      </c>
      <c r="I85">
        <v>32.01</v>
      </c>
    </row>
    <row r="86" spans="1:9" x14ac:dyDescent="0.2">
      <c r="A86" t="s">
        <v>276</v>
      </c>
      <c r="B86" t="s">
        <v>179</v>
      </c>
      <c r="C86">
        <v>12</v>
      </c>
      <c r="D86">
        <v>-1.8305</v>
      </c>
      <c r="E86">
        <v>23</v>
      </c>
      <c r="F86">
        <v>40.479999999999997</v>
      </c>
      <c r="G86">
        <v>11.04</v>
      </c>
      <c r="H86">
        <v>22.77</v>
      </c>
      <c r="I86">
        <v>22.77</v>
      </c>
    </row>
    <row r="87" spans="1:9" x14ac:dyDescent="0.2">
      <c r="A87" t="s">
        <v>277</v>
      </c>
      <c r="B87" t="s">
        <v>199</v>
      </c>
      <c r="C87">
        <v>1</v>
      </c>
      <c r="D87">
        <v>-2.2200000000000002</v>
      </c>
      <c r="E87">
        <v>25</v>
      </c>
      <c r="F87">
        <v>40.25</v>
      </c>
      <c r="G87">
        <v>13</v>
      </c>
      <c r="H87">
        <v>25</v>
      </c>
      <c r="I87">
        <v>25</v>
      </c>
    </row>
    <row r="88" spans="1:9" x14ac:dyDescent="0.2">
      <c r="A88" t="s">
        <v>278</v>
      </c>
      <c r="B88" t="s">
        <v>199</v>
      </c>
      <c r="C88">
        <v>2</v>
      </c>
      <c r="D88">
        <v>7.4999999999999956E-2</v>
      </c>
      <c r="E88">
        <v>46</v>
      </c>
      <c r="F88">
        <v>66.7</v>
      </c>
      <c r="G88">
        <v>20.7</v>
      </c>
      <c r="H88">
        <v>45.08</v>
      </c>
      <c r="I88">
        <v>45.08</v>
      </c>
    </row>
    <row r="89" spans="1:9" x14ac:dyDescent="0.2">
      <c r="A89" t="s">
        <v>279</v>
      </c>
      <c r="B89" t="s">
        <v>199</v>
      </c>
      <c r="C89">
        <v>3</v>
      </c>
      <c r="D89">
        <v>4.67</v>
      </c>
      <c r="E89">
        <v>86</v>
      </c>
      <c r="F89">
        <v>107.5</v>
      </c>
      <c r="G89">
        <v>44.72</v>
      </c>
      <c r="H89">
        <v>82.56</v>
      </c>
      <c r="I89">
        <v>82.56</v>
      </c>
    </row>
    <row r="90" spans="1:9" x14ac:dyDescent="0.2">
      <c r="A90" t="s">
        <v>280</v>
      </c>
      <c r="B90" t="s">
        <v>199</v>
      </c>
      <c r="C90">
        <v>4</v>
      </c>
      <c r="D90">
        <v>10.365</v>
      </c>
      <c r="E90">
        <v>130</v>
      </c>
      <c r="F90">
        <v>141.69999999999999</v>
      </c>
      <c r="G90">
        <v>88.4</v>
      </c>
      <c r="H90">
        <v>122.2</v>
      </c>
      <c r="I90">
        <v>122.2</v>
      </c>
    </row>
    <row r="91" spans="1:9" x14ac:dyDescent="0.2">
      <c r="A91" t="s">
        <v>281</v>
      </c>
      <c r="B91" t="s">
        <v>199</v>
      </c>
      <c r="C91">
        <v>5</v>
      </c>
      <c r="D91">
        <v>15.265000000000001</v>
      </c>
      <c r="E91">
        <v>158</v>
      </c>
      <c r="F91">
        <v>159.58000000000001</v>
      </c>
      <c r="G91">
        <v>124.82</v>
      </c>
      <c r="H91">
        <v>148.52000000000001</v>
      </c>
      <c r="I91">
        <v>148.52000000000001</v>
      </c>
    </row>
    <row r="92" spans="1:9" x14ac:dyDescent="0.2">
      <c r="A92" t="s">
        <v>282</v>
      </c>
      <c r="B92" t="s">
        <v>199</v>
      </c>
      <c r="C92">
        <v>6</v>
      </c>
      <c r="D92">
        <v>18.3125</v>
      </c>
      <c r="E92">
        <v>173</v>
      </c>
      <c r="F92">
        <v>167.81</v>
      </c>
      <c r="G92">
        <v>141.86000000000001</v>
      </c>
      <c r="H92">
        <v>160.88999999999999</v>
      </c>
      <c r="I92">
        <v>160.88999999999999</v>
      </c>
    </row>
    <row r="93" spans="1:9" x14ac:dyDescent="0.2">
      <c r="A93" t="s">
        <v>283</v>
      </c>
      <c r="B93" t="s">
        <v>199</v>
      </c>
      <c r="C93">
        <v>7</v>
      </c>
      <c r="D93">
        <v>19.912500000000001</v>
      </c>
      <c r="E93">
        <v>169</v>
      </c>
      <c r="F93">
        <v>165.62</v>
      </c>
      <c r="G93">
        <v>136.88999999999999</v>
      </c>
      <c r="H93">
        <v>157.16999999999999</v>
      </c>
      <c r="I93">
        <v>157.16999999999999</v>
      </c>
    </row>
    <row r="94" spans="1:9" x14ac:dyDescent="0.2">
      <c r="A94" t="s">
        <v>284</v>
      </c>
      <c r="B94" t="s">
        <v>199</v>
      </c>
      <c r="C94">
        <v>8</v>
      </c>
      <c r="D94">
        <v>19.3125</v>
      </c>
      <c r="E94">
        <v>147</v>
      </c>
      <c r="F94">
        <v>152.88</v>
      </c>
      <c r="G94">
        <v>107.31</v>
      </c>
      <c r="H94">
        <v>138.18</v>
      </c>
      <c r="I94">
        <v>138.18</v>
      </c>
    </row>
    <row r="95" spans="1:9" x14ac:dyDescent="0.2">
      <c r="A95" t="s">
        <v>285</v>
      </c>
      <c r="B95" t="s">
        <v>199</v>
      </c>
      <c r="C95">
        <v>9</v>
      </c>
      <c r="D95">
        <v>15.0175</v>
      </c>
      <c r="E95">
        <v>108</v>
      </c>
      <c r="F95">
        <v>126.36</v>
      </c>
      <c r="G95">
        <v>63.72</v>
      </c>
      <c r="H95">
        <v>102.6</v>
      </c>
      <c r="I95">
        <v>102.6</v>
      </c>
    </row>
    <row r="96" spans="1:9" x14ac:dyDescent="0.2">
      <c r="A96" t="s">
        <v>286</v>
      </c>
      <c r="B96" t="s">
        <v>199</v>
      </c>
      <c r="C96">
        <v>10</v>
      </c>
      <c r="D96">
        <v>9.6749999999999989</v>
      </c>
      <c r="E96">
        <v>59</v>
      </c>
      <c r="F96">
        <v>78.47</v>
      </c>
      <c r="G96">
        <v>26.55</v>
      </c>
      <c r="H96">
        <v>56.64</v>
      </c>
      <c r="I96">
        <v>56.64</v>
      </c>
    </row>
    <row r="97" spans="1:9" x14ac:dyDescent="0.2">
      <c r="A97" t="s">
        <v>287</v>
      </c>
      <c r="B97" t="s">
        <v>199</v>
      </c>
      <c r="C97">
        <v>11</v>
      </c>
      <c r="D97">
        <v>4.2275</v>
      </c>
      <c r="E97">
        <v>29</v>
      </c>
      <c r="F97">
        <v>44.08</v>
      </c>
      <c r="G97">
        <v>13.63</v>
      </c>
      <c r="H97">
        <v>28.13</v>
      </c>
      <c r="I97">
        <v>28.13</v>
      </c>
    </row>
    <row r="98" spans="1:9" x14ac:dyDescent="0.2">
      <c r="A98" t="s">
        <v>288</v>
      </c>
      <c r="B98" t="s">
        <v>199</v>
      </c>
      <c r="C98">
        <v>12</v>
      </c>
      <c r="D98">
        <v>-0.37249999999999989</v>
      </c>
      <c r="E98">
        <v>20</v>
      </c>
      <c r="F98">
        <v>35.200000000000003</v>
      </c>
      <c r="G98">
        <v>9.6</v>
      </c>
      <c r="H98">
        <v>19.8</v>
      </c>
      <c r="I98">
        <v>19.8</v>
      </c>
    </row>
    <row r="99" spans="1:9" x14ac:dyDescent="0.2">
      <c r="A99" t="s">
        <v>289</v>
      </c>
      <c r="B99" t="s">
        <v>183</v>
      </c>
      <c r="C99">
        <v>1</v>
      </c>
      <c r="D99">
        <v>-3.02</v>
      </c>
      <c r="E99">
        <v>28</v>
      </c>
      <c r="F99">
        <v>45.080000000000013</v>
      </c>
      <c r="G99">
        <v>14.56</v>
      </c>
      <c r="H99">
        <v>28</v>
      </c>
      <c r="I99">
        <v>28</v>
      </c>
    </row>
    <row r="100" spans="1:9" x14ac:dyDescent="0.2">
      <c r="A100" t="s">
        <v>290</v>
      </c>
      <c r="B100" t="s">
        <v>183</v>
      </c>
      <c r="C100">
        <v>2</v>
      </c>
      <c r="D100">
        <v>-0.92500000000000016</v>
      </c>
      <c r="E100">
        <v>49</v>
      </c>
      <c r="F100">
        <v>71.05</v>
      </c>
      <c r="G100">
        <v>22.05</v>
      </c>
      <c r="H100">
        <v>48.02</v>
      </c>
      <c r="I100">
        <v>48.02</v>
      </c>
    </row>
    <row r="101" spans="1:9" x14ac:dyDescent="0.2">
      <c r="A101" t="s">
        <v>291</v>
      </c>
      <c r="B101" t="s">
        <v>183</v>
      </c>
      <c r="C101">
        <v>3</v>
      </c>
      <c r="D101">
        <v>3.47</v>
      </c>
      <c r="E101">
        <v>88</v>
      </c>
      <c r="F101">
        <v>110</v>
      </c>
      <c r="G101">
        <v>45.760000000000012</v>
      </c>
      <c r="H101">
        <v>84.47999999999999</v>
      </c>
      <c r="I101">
        <v>84.47999999999999</v>
      </c>
    </row>
    <row r="102" spans="1:9" x14ac:dyDescent="0.2">
      <c r="A102" t="s">
        <v>292</v>
      </c>
      <c r="B102" t="s">
        <v>183</v>
      </c>
      <c r="C102">
        <v>4</v>
      </c>
      <c r="D102">
        <v>8.9649999999999999</v>
      </c>
      <c r="E102">
        <v>130</v>
      </c>
      <c r="F102">
        <v>141.69999999999999</v>
      </c>
      <c r="G102">
        <v>88.4</v>
      </c>
      <c r="H102">
        <v>122.2</v>
      </c>
      <c r="I102">
        <v>122.2</v>
      </c>
    </row>
    <row r="103" spans="1:9" x14ac:dyDescent="0.2">
      <c r="A103" t="s">
        <v>293</v>
      </c>
      <c r="B103" t="s">
        <v>183</v>
      </c>
      <c r="C103">
        <v>5</v>
      </c>
      <c r="D103">
        <v>13.865</v>
      </c>
      <c r="E103">
        <v>157</v>
      </c>
      <c r="F103">
        <v>158.57</v>
      </c>
      <c r="G103">
        <v>124.03</v>
      </c>
      <c r="H103">
        <v>147.58000000000001</v>
      </c>
      <c r="I103">
        <v>147.58000000000001</v>
      </c>
    </row>
    <row r="104" spans="1:9" x14ac:dyDescent="0.2">
      <c r="A104" t="s">
        <v>294</v>
      </c>
      <c r="B104" t="s">
        <v>183</v>
      </c>
      <c r="C104">
        <v>6</v>
      </c>
      <c r="D104">
        <v>16.8125</v>
      </c>
      <c r="E104">
        <v>172</v>
      </c>
      <c r="F104">
        <v>166.84</v>
      </c>
      <c r="G104">
        <v>141.04</v>
      </c>
      <c r="H104">
        <v>159.96</v>
      </c>
      <c r="I104">
        <v>159.96</v>
      </c>
    </row>
    <row r="105" spans="1:9" x14ac:dyDescent="0.2">
      <c r="A105" t="s">
        <v>295</v>
      </c>
      <c r="B105" t="s">
        <v>183</v>
      </c>
      <c r="C105">
        <v>7</v>
      </c>
      <c r="D105">
        <v>18.412500000000001</v>
      </c>
      <c r="E105">
        <v>166</v>
      </c>
      <c r="F105">
        <v>162.68</v>
      </c>
      <c r="G105">
        <v>134.46</v>
      </c>
      <c r="H105">
        <v>154.38</v>
      </c>
      <c r="I105">
        <v>154.38</v>
      </c>
    </row>
    <row r="106" spans="1:9" x14ac:dyDescent="0.2">
      <c r="A106" t="s">
        <v>296</v>
      </c>
      <c r="B106" t="s">
        <v>183</v>
      </c>
      <c r="C106">
        <v>8</v>
      </c>
      <c r="D106">
        <v>17.8125</v>
      </c>
      <c r="E106">
        <v>143</v>
      </c>
      <c r="F106">
        <v>148.72</v>
      </c>
      <c r="G106">
        <v>104.39</v>
      </c>
      <c r="H106">
        <v>134.41999999999999</v>
      </c>
      <c r="I106">
        <v>134.41999999999999</v>
      </c>
    </row>
    <row r="107" spans="1:9" x14ac:dyDescent="0.2">
      <c r="A107" t="s">
        <v>297</v>
      </c>
      <c r="B107" t="s">
        <v>183</v>
      </c>
      <c r="C107">
        <v>9</v>
      </c>
      <c r="D107">
        <v>13.717499999999999</v>
      </c>
      <c r="E107">
        <v>108</v>
      </c>
      <c r="F107">
        <v>126.36</v>
      </c>
      <c r="G107">
        <v>63.72</v>
      </c>
      <c r="H107">
        <v>102.6</v>
      </c>
      <c r="I107">
        <v>102.6</v>
      </c>
    </row>
    <row r="108" spans="1:9" x14ac:dyDescent="0.2">
      <c r="A108" t="s">
        <v>298</v>
      </c>
      <c r="B108" t="s">
        <v>183</v>
      </c>
      <c r="C108">
        <v>10</v>
      </c>
      <c r="D108">
        <v>8.6749999999999989</v>
      </c>
      <c r="E108">
        <v>64</v>
      </c>
      <c r="F108">
        <v>85.12</v>
      </c>
      <c r="G108">
        <v>28.8</v>
      </c>
      <c r="H108">
        <v>61.44</v>
      </c>
      <c r="I108">
        <v>61.44</v>
      </c>
    </row>
    <row r="109" spans="1:9" x14ac:dyDescent="0.2">
      <c r="A109" t="s">
        <v>299</v>
      </c>
      <c r="B109" t="s">
        <v>183</v>
      </c>
      <c r="C109">
        <v>11</v>
      </c>
      <c r="D109">
        <v>3.327500000000001</v>
      </c>
      <c r="E109">
        <v>31</v>
      </c>
      <c r="F109">
        <v>47.12</v>
      </c>
      <c r="G109">
        <v>14.57</v>
      </c>
      <c r="H109">
        <v>30.07</v>
      </c>
      <c r="I109">
        <v>30.07</v>
      </c>
    </row>
    <row r="110" spans="1:9" x14ac:dyDescent="0.2">
      <c r="A110" t="s">
        <v>300</v>
      </c>
      <c r="B110" t="s">
        <v>183</v>
      </c>
      <c r="C110">
        <v>12</v>
      </c>
      <c r="D110">
        <v>-1.2725</v>
      </c>
      <c r="E110">
        <v>21</v>
      </c>
      <c r="F110">
        <v>36.96</v>
      </c>
      <c r="G110">
        <v>10.08</v>
      </c>
      <c r="H110">
        <v>20.79</v>
      </c>
      <c r="I110">
        <v>20.79</v>
      </c>
    </row>
    <row r="111" spans="1:9" x14ac:dyDescent="0.2">
      <c r="A111" t="s">
        <v>301</v>
      </c>
      <c r="B111" t="s">
        <v>201</v>
      </c>
      <c r="C111">
        <v>1</v>
      </c>
      <c r="D111">
        <v>-3.028</v>
      </c>
      <c r="E111">
        <v>29</v>
      </c>
      <c r="F111">
        <v>46.69</v>
      </c>
      <c r="G111">
        <v>15.08</v>
      </c>
      <c r="H111">
        <v>29</v>
      </c>
      <c r="I111">
        <v>29</v>
      </c>
    </row>
    <row r="112" spans="1:9" x14ac:dyDescent="0.2">
      <c r="A112" t="s">
        <v>302</v>
      </c>
      <c r="B112" t="s">
        <v>201</v>
      </c>
      <c r="C112">
        <v>2</v>
      </c>
      <c r="D112">
        <v>-0.93500000000000016</v>
      </c>
      <c r="E112">
        <v>50</v>
      </c>
      <c r="F112">
        <v>72.5</v>
      </c>
      <c r="G112">
        <v>22.5</v>
      </c>
      <c r="H112">
        <v>49</v>
      </c>
      <c r="I112">
        <v>49</v>
      </c>
    </row>
    <row r="113" spans="1:9" x14ac:dyDescent="0.2">
      <c r="A113" t="s">
        <v>303</v>
      </c>
      <c r="B113" t="s">
        <v>201</v>
      </c>
      <c r="C113">
        <v>3</v>
      </c>
      <c r="D113">
        <v>3.4580000000000002</v>
      </c>
      <c r="E113">
        <v>90</v>
      </c>
      <c r="F113">
        <v>112.5</v>
      </c>
      <c r="G113">
        <v>46.8</v>
      </c>
      <c r="H113">
        <v>86.399999999999991</v>
      </c>
      <c r="I113">
        <v>86.399999999999991</v>
      </c>
    </row>
    <row r="114" spans="1:9" x14ac:dyDescent="0.2">
      <c r="A114" t="s">
        <v>304</v>
      </c>
      <c r="B114" t="s">
        <v>201</v>
      </c>
      <c r="C114">
        <v>4</v>
      </c>
      <c r="D114">
        <v>8.9510000000000005</v>
      </c>
      <c r="E114">
        <v>133</v>
      </c>
      <c r="F114">
        <v>144.97</v>
      </c>
      <c r="G114">
        <v>90.440000000000012</v>
      </c>
      <c r="H114">
        <v>125.02</v>
      </c>
      <c r="I114">
        <v>125.02</v>
      </c>
    </row>
    <row r="115" spans="1:9" x14ac:dyDescent="0.2">
      <c r="A115" t="s">
        <v>305</v>
      </c>
      <c r="B115" t="s">
        <v>201</v>
      </c>
      <c r="C115">
        <v>5</v>
      </c>
      <c r="D115">
        <v>13.851000000000001</v>
      </c>
      <c r="E115">
        <v>157</v>
      </c>
      <c r="F115">
        <v>158.57</v>
      </c>
      <c r="G115">
        <v>124.03</v>
      </c>
      <c r="H115">
        <v>147.58000000000001</v>
      </c>
      <c r="I115">
        <v>147.58000000000001</v>
      </c>
    </row>
    <row r="116" spans="1:9" x14ac:dyDescent="0.2">
      <c r="A116" t="s">
        <v>306</v>
      </c>
      <c r="B116" t="s">
        <v>201</v>
      </c>
      <c r="C116">
        <v>6</v>
      </c>
      <c r="D116">
        <v>16.797499999999999</v>
      </c>
      <c r="E116">
        <v>167</v>
      </c>
      <c r="F116">
        <v>161.99</v>
      </c>
      <c r="G116">
        <v>136.94</v>
      </c>
      <c r="H116">
        <v>155.31</v>
      </c>
      <c r="I116">
        <v>155.31</v>
      </c>
    </row>
    <row r="117" spans="1:9" x14ac:dyDescent="0.2">
      <c r="A117" t="s">
        <v>307</v>
      </c>
      <c r="B117" t="s">
        <v>201</v>
      </c>
      <c r="C117">
        <v>7</v>
      </c>
      <c r="D117">
        <v>18.397500000000001</v>
      </c>
      <c r="E117">
        <v>166</v>
      </c>
      <c r="F117">
        <v>162.68</v>
      </c>
      <c r="G117">
        <v>134.46</v>
      </c>
      <c r="H117">
        <v>154.38</v>
      </c>
      <c r="I117">
        <v>154.38</v>
      </c>
    </row>
    <row r="118" spans="1:9" x14ac:dyDescent="0.2">
      <c r="A118" t="s">
        <v>308</v>
      </c>
      <c r="B118" t="s">
        <v>201</v>
      </c>
      <c r="C118">
        <v>8</v>
      </c>
      <c r="D118">
        <v>17.797499999999999</v>
      </c>
      <c r="E118">
        <v>145</v>
      </c>
      <c r="F118">
        <v>150.80000000000001</v>
      </c>
      <c r="G118">
        <v>105.85</v>
      </c>
      <c r="H118">
        <v>136.30000000000001</v>
      </c>
      <c r="I118">
        <v>136.30000000000001</v>
      </c>
    </row>
    <row r="119" spans="1:9" x14ac:dyDescent="0.2">
      <c r="A119" t="s">
        <v>309</v>
      </c>
      <c r="B119" t="s">
        <v>201</v>
      </c>
      <c r="C119">
        <v>9</v>
      </c>
      <c r="D119">
        <v>13.704499999999999</v>
      </c>
      <c r="E119">
        <v>112</v>
      </c>
      <c r="F119">
        <v>131.04</v>
      </c>
      <c r="G119">
        <v>66.08</v>
      </c>
      <c r="H119">
        <v>106.4</v>
      </c>
      <c r="I119">
        <v>106.4</v>
      </c>
    </row>
    <row r="120" spans="1:9" x14ac:dyDescent="0.2">
      <c r="A120" t="s">
        <v>310</v>
      </c>
      <c r="B120" t="s">
        <v>201</v>
      </c>
      <c r="C120">
        <v>10</v>
      </c>
      <c r="D120">
        <v>8.6649999999999991</v>
      </c>
      <c r="E120">
        <v>65</v>
      </c>
      <c r="F120">
        <v>86.45</v>
      </c>
      <c r="G120">
        <v>29.25</v>
      </c>
      <c r="H120">
        <v>62.4</v>
      </c>
      <c r="I120">
        <v>62.4</v>
      </c>
    </row>
    <row r="121" spans="1:9" x14ac:dyDescent="0.2">
      <c r="A121" t="s">
        <v>311</v>
      </c>
      <c r="B121" t="s">
        <v>201</v>
      </c>
      <c r="C121">
        <v>11</v>
      </c>
      <c r="D121">
        <v>3.3184999999999998</v>
      </c>
      <c r="E121">
        <v>33</v>
      </c>
      <c r="F121">
        <v>50.16</v>
      </c>
      <c r="G121">
        <v>15.51</v>
      </c>
      <c r="H121">
        <v>32.01</v>
      </c>
      <c r="I121">
        <v>32.01</v>
      </c>
    </row>
    <row r="122" spans="1:9" x14ac:dyDescent="0.2">
      <c r="A122" t="s">
        <v>312</v>
      </c>
      <c r="B122" t="s">
        <v>201</v>
      </c>
      <c r="C122">
        <v>12</v>
      </c>
      <c r="D122">
        <v>-1.2815000000000001</v>
      </c>
      <c r="E122">
        <v>22</v>
      </c>
      <c r="F122">
        <v>38.72</v>
      </c>
      <c r="G122">
        <v>10.56</v>
      </c>
      <c r="H122">
        <v>21.78</v>
      </c>
      <c r="I122">
        <v>21.78</v>
      </c>
    </row>
    <row r="123" spans="1:9" x14ac:dyDescent="0.2">
      <c r="A123" t="s">
        <v>313</v>
      </c>
      <c r="B123" t="s">
        <v>186</v>
      </c>
      <c r="C123">
        <v>1</v>
      </c>
      <c r="D123">
        <v>-1.6319999999999999</v>
      </c>
      <c r="E123">
        <v>27</v>
      </c>
      <c r="F123">
        <v>43.74</v>
      </c>
      <c r="G123">
        <v>13.5</v>
      </c>
      <c r="H123">
        <v>27</v>
      </c>
      <c r="I123">
        <v>27</v>
      </c>
    </row>
    <row r="124" spans="1:9" x14ac:dyDescent="0.2">
      <c r="A124" t="s">
        <v>314</v>
      </c>
      <c r="B124" t="s">
        <v>186</v>
      </c>
      <c r="C124">
        <v>2</v>
      </c>
      <c r="D124">
        <v>0.63500000000000001</v>
      </c>
      <c r="E124">
        <v>50</v>
      </c>
      <c r="F124">
        <v>73</v>
      </c>
      <c r="G124">
        <v>21.5</v>
      </c>
      <c r="H124">
        <v>49.5</v>
      </c>
      <c r="I124">
        <v>49.5</v>
      </c>
    </row>
    <row r="125" spans="1:9" x14ac:dyDescent="0.2">
      <c r="A125" t="s">
        <v>315</v>
      </c>
      <c r="B125" t="s">
        <v>186</v>
      </c>
      <c r="C125">
        <v>3</v>
      </c>
      <c r="D125">
        <v>5.4020000000000001</v>
      </c>
      <c r="E125">
        <v>89</v>
      </c>
      <c r="F125">
        <v>112.14</v>
      </c>
      <c r="G125">
        <v>45.39</v>
      </c>
      <c r="H125">
        <v>85.44</v>
      </c>
      <c r="I125">
        <v>85.44</v>
      </c>
    </row>
    <row r="126" spans="1:9" x14ac:dyDescent="0.2">
      <c r="A126" t="s">
        <v>316</v>
      </c>
      <c r="B126" t="s">
        <v>186</v>
      </c>
      <c r="C126">
        <v>4</v>
      </c>
      <c r="D126">
        <v>10.769</v>
      </c>
      <c r="E126">
        <v>137</v>
      </c>
      <c r="F126">
        <v>150.69999999999999</v>
      </c>
      <c r="G126">
        <v>93.160000000000011</v>
      </c>
      <c r="H126">
        <v>128.78</v>
      </c>
      <c r="I126">
        <v>128.78</v>
      </c>
    </row>
    <row r="127" spans="1:9" x14ac:dyDescent="0.2">
      <c r="A127" t="s">
        <v>317</v>
      </c>
      <c r="B127" t="s">
        <v>186</v>
      </c>
      <c r="C127">
        <v>5</v>
      </c>
      <c r="D127">
        <v>15.669</v>
      </c>
      <c r="E127">
        <v>168</v>
      </c>
      <c r="F127">
        <v>169.68</v>
      </c>
      <c r="G127">
        <v>132.72</v>
      </c>
      <c r="H127">
        <v>157.91999999999999</v>
      </c>
      <c r="I127">
        <v>157.91999999999999</v>
      </c>
    </row>
    <row r="128" spans="1:9" x14ac:dyDescent="0.2">
      <c r="A128" t="s">
        <v>318</v>
      </c>
      <c r="B128" t="s">
        <v>186</v>
      </c>
      <c r="C128">
        <v>6</v>
      </c>
      <c r="D128">
        <v>18.702500000000001</v>
      </c>
      <c r="E128">
        <v>181</v>
      </c>
      <c r="F128">
        <v>175.57</v>
      </c>
      <c r="G128">
        <v>148.41999999999999</v>
      </c>
      <c r="H128">
        <v>168.33</v>
      </c>
      <c r="I128">
        <v>168.33</v>
      </c>
    </row>
    <row r="129" spans="1:9" x14ac:dyDescent="0.2">
      <c r="A129" t="s">
        <v>319</v>
      </c>
      <c r="B129" t="s">
        <v>186</v>
      </c>
      <c r="C129">
        <v>7</v>
      </c>
      <c r="D129">
        <v>20.4025</v>
      </c>
      <c r="E129">
        <v>177</v>
      </c>
      <c r="F129">
        <v>173.46</v>
      </c>
      <c r="G129">
        <v>143.37</v>
      </c>
      <c r="H129">
        <v>164.61</v>
      </c>
      <c r="I129">
        <v>164.61</v>
      </c>
    </row>
    <row r="130" spans="1:9" x14ac:dyDescent="0.2">
      <c r="A130" t="s">
        <v>320</v>
      </c>
      <c r="B130" t="s">
        <v>186</v>
      </c>
      <c r="C130">
        <v>8</v>
      </c>
      <c r="D130">
        <v>19.802499999999998</v>
      </c>
      <c r="E130">
        <v>154</v>
      </c>
      <c r="F130">
        <v>161.69999999999999</v>
      </c>
      <c r="G130">
        <v>112.42</v>
      </c>
      <c r="H130">
        <v>143.22</v>
      </c>
      <c r="I130">
        <v>143.22</v>
      </c>
    </row>
    <row r="131" spans="1:9" x14ac:dyDescent="0.2">
      <c r="A131" t="s">
        <v>321</v>
      </c>
      <c r="B131" t="s">
        <v>186</v>
      </c>
      <c r="C131">
        <v>9</v>
      </c>
      <c r="D131">
        <v>15.435499999999999</v>
      </c>
      <c r="E131">
        <v>112</v>
      </c>
      <c r="F131">
        <v>132.16</v>
      </c>
      <c r="G131">
        <v>64.959999999999994</v>
      </c>
      <c r="H131">
        <v>106.4</v>
      </c>
      <c r="I131">
        <v>106.4</v>
      </c>
    </row>
    <row r="132" spans="1:9" x14ac:dyDescent="0.2">
      <c r="A132" t="s">
        <v>322</v>
      </c>
      <c r="B132" t="s">
        <v>186</v>
      </c>
      <c r="C132">
        <v>10</v>
      </c>
      <c r="D132">
        <v>10.035</v>
      </c>
      <c r="E132">
        <v>67</v>
      </c>
      <c r="F132">
        <v>90.45</v>
      </c>
      <c r="G132">
        <v>28.81</v>
      </c>
      <c r="H132">
        <v>64.319999999999993</v>
      </c>
      <c r="I132">
        <v>64.319999999999993</v>
      </c>
    </row>
    <row r="133" spans="1:9" x14ac:dyDescent="0.2">
      <c r="A133" t="s">
        <v>323</v>
      </c>
      <c r="B133" t="s">
        <v>186</v>
      </c>
      <c r="C133">
        <v>11</v>
      </c>
      <c r="D133">
        <v>4.5015000000000001</v>
      </c>
      <c r="E133">
        <v>31</v>
      </c>
      <c r="F133">
        <v>47.43</v>
      </c>
      <c r="G133">
        <v>13.95</v>
      </c>
      <c r="H133">
        <v>30.38</v>
      </c>
      <c r="I133">
        <v>30.38</v>
      </c>
    </row>
    <row r="134" spans="1:9" x14ac:dyDescent="0.2">
      <c r="A134" t="s">
        <v>324</v>
      </c>
      <c r="B134" t="s">
        <v>186</v>
      </c>
      <c r="C134">
        <v>12</v>
      </c>
      <c r="D134">
        <v>-9.8499999999999921E-2</v>
      </c>
      <c r="E134">
        <v>22</v>
      </c>
      <c r="F134">
        <v>39.82</v>
      </c>
      <c r="G134">
        <v>9.9</v>
      </c>
      <c r="H134">
        <v>22</v>
      </c>
      <c r="I134">
        <v>22</v>
      </c>
    </row>
    <row r="135" spans="1:9" x14ac:dyDescent="0.2">
      <c r="A135" t="s">
        <v>325</v>
      </c>
      <c r="B135" t="s">
        <v>194</v>
      </c>
      <c r="C135">
        <v>1</v>
      </c>
      <c r="D135">
        <v>-2.72</v>
      </c>
      <c r="E135">
        <v>26</v>
      </c>
      <c r="F135">
        <v>41.86</v>
      </c>
      <c r="G135">
        <v>13.52</v>
      </c>
      <c r="H135">
        <v>26</v>
      </c>
      <c r="I135">
        <v>26</v>
      </c>
    </row>
    <row r="136" spans="1:9" x14ac:dyDescent="0.2">
      <c r="A136" t="s">
        <v>326</v>
      </c>
      <c r="B136" t="s">
        <v>194</v>
      </c>
      <c r="C136">
        <v>2</v>
      </c>
      <c r="D136">
        <v>-0.55000000000000016</v>
      </c>
      <c r="E136">
        <v>49</v>
      </c>
      <c r="F136">
        <v>71.05</v>
      </c>
      <c r="G136">
        <v>22.05</v>
      </c>
      <c r="H136">
        <v>48.02</v>
      </c>
      <c r="I136">
        <v>48.02</v>
      </c>
    </row>
    <row r="137" spans="1:9" x14ac:dyDescent="0.2">
      <c r="A137" t="s">
        <v>327</v>
      </c>
      <c r="B137" t="s">
        <v>194</v>
      </c>
      <c r="C137">
        <v>3</v>
      </c>
      <c r="D137">
        <v>3.92</v>
      </c>
      <c r="E137">
        <v>89</v>
      </c>
      <c r="F137">
        <v>111.25</v>
      </c>
      <c r="G137">
        <v>46.28</v>
      </c>
      <c r="H137">
        <v>85.44</v>
      </c>
      <c r="I137">
        <v>85.44</v>
      </c>
    </row>
    <row r="138" spans="1:9" x14ac:dyDescent="0.2">
      <c r="A138" t="s">
        <v>328</v>
      </c>
      <c r="B138" t="s">
        <v>194</v>
      </c>
      <c r="C138">
        <v>4</v>
      </c>
      <c r="D138">
        <v>9.49</v>
      </c>
      <c r="E138">
        <v>134</v>
      </c>
      <c r="F138">
        <v>146.06</v>
      </c>
      <c r="G138">
        <v>91.12</v>
      </c>
      <c r="H138">
        <v>125.96</v>
      </c>
      <c r="I138">
        <v>125.96</v>
      </c>
    </row>
    <row r="139" spans="1:9" x14ac:dyDescent="0.2">
      <c r="A139" t="s">
        <v>329</v>
      </c>
      <c r="B139" t="s">
        <v>194</v>
      </c>
      <c r="C139">
        <v>5</v>
      </c>
      <c r="D139">
        <v>14.39</v>
      </c>
      <c r="E139">
        <v>163</v>
      </c>
      <c r="F139">
        <v>164.63</v>
      </c>
      <c r="G139">
        <v>128.77000000000001</v>
      </c>
      <c r="H139">
        <v>153.22</v>
      </c>
      <c r="I139">
        <v>153.22</v>
      </c>
    </row>
    <row r="140" spans="1:9" x14ac:dyDescent="0.2">
      <c r="A140" t="s">
        <v>330</v>
      </c>
      <c r="B140" t="s">
        <v>194</v>
      </c>
      <c r="C140">
        <v>6</v>
      </c>
      <c r="D140">
        <v>17.375</v>
      </c>
      <c r="E140">
        <v>178</v>
      </c>
      <c r="F140">
        <v>172.66</v>
      </c>
      <c r="G140">
        <v>145.96</v>
      </c>
      <c r="H140">
        <v>165.54</v>
      </c>
      <c r="I140">
        <v>165.54</v>
      </c>
    </row>
    <row r="141" spans="1:9" x14ac:dyDescent="0.2">
      <c r="A141" t="s">
        <v>331</v>
      </c>
      <c r="B141" t="s">
        <v>194</v>
      </c>
      <c r="C141">
        <v>7</v>
      </c>
      <c r="D141">
        <v>18.975000000000001</v>
      </c>
      <c r="E141">
        <v>171</v>
      </c>
      <c r="F141">
        <v>167.58</v>
      </c>
      <c r="G141">
        <v>138.51</v>
      </c>
      <c r="H141">
        <v>159.03</v>
      </c>
      <c r="I141">
        <v>159.03</v>
      </c>
    </row>
    <row r="142" spans="1:9" x14ac:dyDescent="0.2">
      <c r="A142" t="s">
        <v>332</v>
      </c>
      <c r="B142" t="s">
        <v>194</v>
      </c>
      <c r="C142">
        <v>8</v>
      </c>
      <c r="D142">
        <v>18.375</v>
      </c>
      <c r="E142">
        <v>149</v>
      </c>
      <c r="F142">
        <v>154.96</v>
      </c>
      <c r="G142">
        <v>108.77</v>
      </c>
      <c r="H142">
        <v>140.06</v>
      </c>
      <c r="I142">
        <v>140.06</v>
      </c>
    </row>
    <row r="143" spans="1:9" x14ac:dyDescent="0.2">
      <c r="A143" t="s">
        <v>333</v>
      </c>
      <c r="B143" t="s">
        <v>194</v>
      </c>
      <c r="C143">
        <v>9</v>
      </c>
      <c r="D143">
        <v>14.205</v>
      </c>
      <c r="E143">
        <v>111</v>
      </c>
      <c r="F143">
        <v>129.87</v>
      </c>
      <c r="G143">
        <v>65.489999999999995</v>
      </c>
      <c r="H143">
        <v>105.45</v>
      </c>
      <c r="I143">
        <v>105.45</v>
      </c>
    </row>
    <row r="144" spans="1:9" x14ac:dyDescent="0.2">
      <c r="A144" t="s">
        <v>334</v>
      </c>
      <c r="B144" t="s">
        <v>194</v>
      </c>
      <c r="C144">
        <v>10</v>
      </c>
      <c r="D144">
        <v>9.0499999999999989</v>
      </c>
      <c r="E144">
        <v>65</v>
      </c>
      <c r="F144">
        <v>86.45</v>
      </c>
      <c r="G144">
        <v>29.25</v>
      </c>
      <c r="H144">
        <v>62.4</v>
      </c>
      <c r="I144">
        <v>62.4</v>
      </c>
    </row>
    <row r="145" spans="1:9" x14ac:dyDescent="0.2">
      <c r="A145" t="s">
        <v>335</v>
      </c>
      <c r="B145" t="s">
        <v>194</v>
      </c>
      <c r="C145">
        <v>11</v>
      </c>
      <c r="D145">
        <v>3.665</v>
      </c>
      <c r="E145">
        <v>30</v>
      </c>
      <c r="F145">
        <v>45.6</v>
      </c>
      <c r="G145">
        <v>14.1</v>
      </c>
      <c r="H145">
        <v>29.1</v>
      </c>
      <c r="I145">
        <v>29.1</v>
      </c>
    </row>
    <row r="146" spans="1:9" x14ac:dyDescent="0.2">
      <c r="A146" t="s">
        <v>336</v>
      </c>
      <c r="B146" t="s">
        <v>194</v>
      </c>
      <c r="C146">
        <v>12</v>
      </c>
      <c r="D146">
        <v>-0.93499999999999994</v>
      </c>
      <c r="E146">
        <v>20</v>
      </c>
      <c r="F146">
        <v>35.200000000000003</v>
      </c>
      <c r="G146">
        <v>9.6</v>
      </c>
      <c r="H146">
        <v>19.8</v>
      </c>
      <c r="I146">
        <v>19.8</v>
      </c>
    </row>
    <row r="147" spans="1:9" x14ac:dyDescent="0.2">
      <c r="A147" t="s">
        <v>337</v>
      </c>
      <c r="B147" t="s">
        <v>196</v>
      </c>
      <c r="C147">
        <v>1</v>
      </c>
      <c r="D147">
        <v>-4.0760000000000014</v>
      </c>
      <c r="E147">
        <v>26</v>
      </c>
      <c r="F147">
        <v>41.86</v>
      </c>
      <c r="G147">
        <v>13.52</v>
      </c>
      <c r="H147">
        <v>26</v>
      </c>
      <c r="I147">
        <v>26</v>
      </c>
    </row>
    <row r="148" spans="1:9" x14ac:dyDescent="0.2">
      <c r="A148" t="s">
        <v>338</v>
      </c>
      <c r="B148" t="s">
        <v>196</v>
      </c>
      <c r="C148">
        <v>2</v>
      </c>
      <c r="D148">
        <v>-2.2450000000000001</v>
      </c>
      <c r="E148">
        <v>49</v>
      </c>
      <c r="F148">
        <v>71.05</v>
      </c>
      <c r="G148">
        <v>22.05</v>
      </c>
      <c r="H148">
        <v>48.02</v>
      </c>
      <c r="I148">
        <v>48.02</v>
      </c>
    </row>
    <row r="149" spans="1:9" x14ac:dyDescent="0.2">
      <c r="A149" t="s">
        <v>339</v>
      </c>
      <c r="B149" t="s">
        <v>196</v>
      </c>
      <c r="C149">
        <v>3</v>
      </c>
      <c r="D149">
        <v>1.8859999999999999</v>
      </c>
      <c r="E149">
        <v>86</v>
      </c>
      <c r="F149">
        <v>107.5</v>
      </c>
      <c r="G149">
        <v>44.72</v>
      </c>
      <c r="H149">
        <v>82.56</v>
      </c>
      <c r="I149">
        <v>82.56</v>
      </c>
    </row>
    <row r="150" spans="1:9" x14ac:dyDescent="0.2">
      <c r="A150" t="s">
        <v>340</v>
      </c>
      <c r="B150" t="s">
        <v>196</v>
      </c>
      <c r="C150">
        <v>4</v>
      </c>
      <c r="D150">
        <v>7.1169999999999991</v>
      </c>
      <c r="E150">
        <v>124</v>
      </c>
      <c r="F150">
        <v>135.16</v>
      </c>
      <c r="G150">
        <v>84.320000000000007</v>
      </c>
      <c r="H150">
        <v>116.56</v>
      </c>
      <c r="I150">
        <v>116.56</v>
      </c>
    </row>
    <row r="151" spans="1:9" x14ac:dyDescent="0.2">
      <c r="A151" t="s">
        <v>341</v>
      </c>
      <c r="B151" t="s">
        <v>196</v>
      </c>
      <c r="C151">
        <v>5</v>
      </c>
      <c r="D151">
        <v>12.016999999999999</v>
      </c>
      <c r="E151">
        <v>147</v>
      </c>
      <c r="F151">
        <v>148.47</v>
      </c>
      <c r="G151">
        <v>116.13</v>
      </c>
      <c r="H151">
        <v>138.18</v>
      </c>
      <c r="I151">
        <v>138.18</v>
      </c>
    </row>
    <row r="152" spans="1:9" x14ac:dyDescent="0.2">
      <c r="A152" t="s">
        <v>342</v>
      </c>
      <c r="B152" t="s">
        <v>196</v>
      </c>
      <c r="C152">
        <v>6</v>
      </c>
      <c r="D152">
        <v>14.8325</v>
      </c>
      <c r="E152">
        <v>157</v>
      </c>
      <c r="F152">
        <v>152.29</v>
      </c>
      <c r="G152">
        <v>128.74</v>
      </c>
      <c r="H152">
        <v>146.01</v>
      </c>
      <c r="I152">
        <v>146.01</v>
      </c>
    </row>
    <row r="153" spans="1:9" x14ac:dyDescent="0.2">
      <c r="A153" t="s">
        <v>343</v>
      </c>
      <c r="B153" t="s">
        <v>196</v>
      </c>
      <c r="C153">
        <v>7</v>
      </c>
      <c r="D153">
        <v>16.432500000000001</v>
      </c>
      <c r="E153">
        <v>156</v>
      </c>
      <c r="F153">
        <v>152.88</v>
      </c>
      <c r="G153">
        <v>126.36</v>
      </c>
      <c r="H153">
        <v>145.08000000000001</v>
      </c>
      <c r="I153">
        <v>145.08000000000001</v>
      </c>
    </row>
    <row r="154" spans="1:9" x14ac:dyDescent="0.2">
      <c r="A154" t="s">
        <v>344</v>
      </c>
      <c r="B154" t="s">
        <v>196</v>
      </c>
      <c r="C154">
        <v>8</v>
      </c>
      <c r="D154">
        <v>15.8325</v>
      </c>
      <c r="E154">
        <v>136</v>
      </c>
      <c r="F154">
        <v>141.44</v>
      </c>
      <c r="G154">
        <v>99.28</v>
      </c>
      <c r="H154">
        <v>127.84</v>
      </c>
      <c r="I154">
        <v>127.84</v>
      </c>
    </row>
    <row r="155" spans="1:9" x14ac:dyDescent="0.2">
      <c r="A155" t="s">
        <v>345</v>
      </c>
      <c r="B155" t="s">
        <v>196</v>
      </c>
      <c r="C155">
        <v>9</v>
      </c>
      <c r="D155">
        <v>12.0015</v>
      </c>
      <c r="E155">
        <v>103</v>
      </c>
      <c r="F155">
        <v>120.51</v>
      </c>
      <c r="G155">
        <v>60.77</v>
      </c>
      <c r="H155">
        <v>97.85</v>
      </c>
      <c r="I155">
        <v>97.85</v>
      </c>
    </row>
    <row r="156" spans="1:9" x14ac:dyDescent="0.2">
      <c r="A156" t="s">
        <v>346</v>
      </c>
      <c r="B156" t="s">
        <v>196</v>
      </c>
      <c r="C156">
        <v>10</v>
      </c>
      <c r="D156">
        <v>7.3549999999999986</v>
      </c>
      <c r="E156">
        <v>61</v>
      </c>
      <c r="F156">
        <v>81.13000000000001</v>
      </c>
      <c r="G156">
        <v>27.45</v>
      </c>
      <c r="H156">
        <v>58.56</v>
      </c>
      <c r="I156">
        <v>58.56</v>
      </c>
    </row>
    <row r="157" spans="1:9" x14ac:dyDescent="0.2">
      <c r="A157" t="s">
        <v>347</v>
      </c>
      <c r="B157" t="s">
        <v>196</v>
      </c>
      <c r="C157">
        <v>11</v>
      </c>
      <c r="D157">
        <v>2.1395</v>
      </c>
      <c r="E157">
        <v>30</v>
      </c>
      <c r="F157">
        <v>45.6</v>
      </c>
      <c r="G157">
        <v>14.1</v>
      </c>
      <c r="H157">
        <v>29.1</v>
      </c>
      <c r="I157">
        <v>29.1</v>
      </c>
    </row>
    <row r="158" spans="1:9" x14ac:dyDescent="0.2">
      <c r="A158" t="s">
        <v>348</v>
      </c>
      <c r="B158" t="s">
        <v>196</v>
      </c>
      <c r="C158">
        <v>12</v>
      </c>
      <c r="D158">
        <v>-2.4605000000000001</v>
      </c>
      <c r="E158">
        <v>20</v>
      </c>
      <c r="F158">
        <v>35.200000000000003</v>
      </c>
      <c r="G158">
        <v>9.6</v>
      </c>
      <c r="H158">
        <v>19.8</v>
      </c>
      <c r="I158">
        <v>19.8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1"/>
  <sheetViews>
    <sheetView workbookViewId="0"/>
  </sheetViews>
  <sheetFormatPr defaultRowHeight="12.75" x14ac:dyDescent="0.2"/>
  <cols>
    <col min="1" max="1" width="12" customWidth="1"/>
    <col min="2" max="2" width="8" customWidth="1"/>
    <col min="3" max="3" width="12" customWidth="1"/>
    <col min="4" max="4" width="16" customWidth="1"/>
    <col min="5" max="6" width="14" customWidth="1"/>
    <col min="7" max="7" width="16" customWidth="1"/>
    <col min="8" max="9" width="10" customWidth="1"/>
    <col min="10" max="10" width="16" customWidth="1"/>
    <col min="11" max="11" width="12" customWidth="1"/>
    <col min="14" max="15" width="14" customWidth="1"/>
    <col min="19" max="19" width="16" customWidth="1"/>
  </cols>
  <sheetData>
    <row r="1" spans="1:26" ht="18.75" x14ac:dyDescent="0.3">
      <c r="A1" s="74" t="s">
        <v>349</v>
      </c>
    </row>
    <row r="2" spans="1:26" ht="15" x14ac:dyDescent="0.25">
      <c r="A2" s="75" t="s">
        <v>350</v>
      </c>
    </row>
    <row r="5" spans="1:26" ht="15" x14ac:dyDescent="0.25">
      <c r="A5" s="76" t="s">
        <v>351</v>
      </c>
    </row>
    <row r="6" spans="1:26" ht="15" x14ac:dyDescent="0.25">
      <c r="A6" s="77" t="s">
        <v>352</v>
      </c>
      <c r="D6" s="76">
        <f>'Správa TOB'!I24</f>
        <v>1728.98</v>
      </c>
    </row>
    <row r="7" spans="1:26" ht="15" x14ac:dyDescent="0.25">
      <c r="A7" s="77" t="s">
        <v>353</v>
      </c>
      <c r="D7" s="76">
        <f>'Správa TOB'!I23</f>
        <v>5273.3890000000001</v>
      </c>
    </row>
    <row r="8" spans="1:26" ht="15" x14ac:dyDescent="0.25">
      <c r="A8" s="77" t="s">
        <v>354</v>
      </c>
      <c r="D8" s="76">
        <f>'Správa TOB'!I99</f>
        <v>18.399999999999999</v>
      </c>
      <c r="G8" t="s">
        <v>355</v>
      </c>
      <c r="H8">
        <f>IF(D9&gt;0, D11/(D9*3600), 0)</f>
        <v>34.228056940325565</v>
      </c>
    </row>
    <row r="9" spans="1:26" ht="15" x14ac:dyDescent="0.25">
      <c r="A9" s="77" t="s">
        <v>356</v>
      </c>
      <c r="D9" s="76">
        <f>'Správa TOB'!I112</f>
        <v>2315.2034836457451</v>
      </c>
      <c r="G9" t="s">
        <v>357</v>
      </c>
      <c r="H9">
        <f>1 + H8/15</f>
        <v>3.2818704626883712</v>
      </c>
    </row>
    <row r="10" spans="1:26" ht="15" x14ac:dyDescent="0.25">
      <c r="A10" s="77" t="s">
        <v>358</v>
      </c>
      <c r="D10" s="76">
        <f>'Správa TOB'!I68</f>
        <v>6</v>
      </c>
    </row>
    <row r="11" spans="1:26" ht="15" x14ac:dyDescent="0.25">
      <c r="A11" s="77" t="s">
        <v>359</v>
      </c>
      <c r="D11" s="76">
        <f>IF(ISNUMBER('Správa TOB'!I101),'Správa TOB'!I101*D6,165000*D6)</f>
        <v>285281700</v>
      </c>
    </row>
    <row r="15" spans="1:26" ht="15" x14ac:dyDescent="0.2">
      <c r="A15" s="78" t="s">
        <v>164</v>
      </c>
      <c r="B15" s="78" t="s">
        <v>360</v>
      </c>
      <c r="C15" s="78" t="s">
        <v>361</v>
      </c>
      <c r="D15" s="78" t="s">
        <v>362</v>
      </c>
      <c r="E15" s="78" t="s">
        <v>363</v>
      </c>
      <c r="F15" s="78" t="s">
        <v>364</v>
      </c>
      <c r="G15" s="78" t="s">
        <v>365</v>
      </c>
      <c r="H15" s="78" t="s">
        <v>366</v>
      </c>
      <c r="I15" s="78" t="s">
        <v>367</v>
      </c>
      <c r="J15" s="78" t="s">
        <v>368</v>
      </c>
      <c r="K15" s="78" t="s">
        <v>369</v>
      </c>
    </row>
    <row r="16" spans="1:26" x14ac:dyDescent="0.2">
      <c r="A16" s="79" t="s">
        <v>370</v>
      </c>
      <c r="B16" s="79">
        <v>31</v>
      </c>
      <c r="C16" s="80">
        <f>VLOOKUP('Správa TOB'!$I$12 &amp; "_" &amp; Z16, KLIMA_DB!$A$3:$I$250, 4, FALSE)</f>
        <v>-1.6319999999999999</v>
      </c>
      <c r="D16" s="81">
        <f t="shared" ref="D16:D27" si="0">IF(C16&lt;D$8, D$9*(D$8-C16)*B16*24/1000, 0)</f>
        <v>34505.348201187328</v>
      </c>
      <c r="E16" s="81">
        <f t="shared" ref="E16:E27" si="1">IF(C16&lt;D$8, D$10*D$6*B16*24/1000, 0)</f>
        <v>7718.1667200000011</v>
      </c>
      <c r="F16" s="81">
        <f>IF(C16&lt;D$8, (VLOOKUP('Správa TOB'!$I$12 &amp; "_" &amp; Z16, KLIMA_DB!$A$3:$I$250, 6, FALSE))*$O$30 + (VLOOKUP('Správa TOB'!$I$12 &amp; "_" &amp; Z16, KLIMA_DB!$A$3:$I$250, 7, FALSE))*$O$31 + (((VLOOKUP('Správa TOB'!$I$12 &amp; "_" &amp; Z16, KLIMA_DB!$A$3:$I$250, 8, FALSE)+VLOOKUP('Správa TOB'!$I$12 &amp; "_" &amp; Z16, KLIMA_DB!$A$3:$I$250, 9, FALSE))/2))*$O$32 + (((VLOOKUP('Správa TOB'!$I$12 &amp; "_" &amp; Z16, KLIMA_DB!$A$3:$I$250, 6, FALSE)+VLOOKUP('Správa TOB'!$I$12 &amp; "_" &amp; Z16, KLIMA_DB!$A$3:$I$250, 8, FALSE))/2))*$O$33 + (((VLOOKUP('Správa TOB'!$I$12 &amp; "_" &amp; Z16, KLIMA_DB!$A$3:$I$250, 7, FALSE)+VLOOKUP('Správa TOB'!$I$12 &amp; "_" &amp; Z16, KLIMA_DB!$A$3:$I$250, 8, FALSE))/2))*$O$34 + (VLOOKUP('Správa TOB'!$I$12 &amp; "_" &amp; Z16, KLIMA_DB!$A$3:$I$250, 5, FALSE))*$O$35, 0)</f>
        <v>2094.2541575999999</v>
      </c>
      <c r="G16" s="81">
        <f t="shared" ref="G16:G27" si="2">E16+F16</f>
        <v>9812.4208776000014</v>
      </c>
      <c r="H16" s="82">
        <f t="shared" ref="H16:H27" si="3">IF(D16&gt;0, G16/D16, 0)</f>
        <v>0.2843739127160107</v>
      </c>
      <c r="I16" s="82">
        <f t="shared" ref="I16:I27" si="4">IF(D16=0, 0, IF(H16&lt;=0, 1, IF(ABS(H16-1)&lt;0.001, ($H$9)/($H$9+1), (1-POWER(H16,$H$9))/(1-POWER(H16,$H$9+1)))))</f>
        <v>0.98840100878363002</v>
      </c>
      <c r="J16" s="81">
        <f t="shared" ref="J16:J27" si="5">MAX(0, D16 - I16*G16)</f>
        <v>24806.741507157934</v>
      </c>
      <c r="K16" s="79" t="str">
        <f t="shared" ref="K16:K27" si="6">IF(C16&lt;D$8, "ÁNO", "nie")</f>
        <v>ÁNO</v>
      </c>
      <c r="Z16">
        <v>1</v>
      </c>
    </row>
    <row r="17" spans="1:26" x14ac:dyDescent="0.2">
      <c r="A17" s="79" t="s">
        <v>371</v>
      </c>
      <c r="B17" s="79">
        <v>28</v>
      </c>
      <c r="C17" s="80">
        <f>VLOOKUP('Správa TOB'!$I$12 &amp; "_" &amp; Z17, KLIMA_DB!$A$3:$I$250, 4, FALSE)</f>
        <v>0.63500000000000001</v>
      </c>
      <c r="D17" s="81">
        <f t="shared" si="0"/>
        <v>27639.084404041594</v>
      </c>
      <c r="E17" s="81">
        <f t="shared" si="1"/>
        <v>6971.2473600000003</v>
      </c>
      <c r="F17" s="81">
        <f>IF(C17&lt;D$8, (VLOOKUP('Správa TOB'!$I$12 &amp; "_" &amp; Z17, KLIMA_DB!$A$3:$I$250, 6, FALSE))*$O$30 + (VLOOKUP('Správa TOB'!$I$12 &amp; "_" &amp; Z17, KLIMA_DB!$A$3:$I$250, 7, FALSE))*$O$31 + (((VLOOKUP('Správa TOB'!$I$12 &amp; "_" &amp; Z17, KLIMA_DB!$A$3:$I$250, 8, FALSE)+VLOOKUP('Správa TOB'!$I$12 &amp; "_" &amp; Z17, KLIMA_DB!$A$3:$I$250, 9, FALSE))/2))*$O$32 + (((VLOOKUP('Správa TOB'!$I$12 &amp; "_" &amp; Z17, KLIMA_DB!$A$3:$I$250, 6, FALSE)+VLOOKUP('Správa TOB'!$I$12 &amp; "_" &amp; Z17, KLIMA_DB!$A$3:$I$250, 8, FALSE))/2))*$O$33 + (((VLOOKUP('Správa TOB'!$I$12 &amp; "_" &amp; Z17, KLIMA_DB!$A$3:$I$250, 7, FALSE)+VLOOKUP('Správa TOB'!$I$12 &amp; "_" &amp; Z17, KLIMA_DB!$A$3:$I$250, 8, FALSE))/2))*$O$34 + (VLOOKUP('Správa TOB'!$I$12 &amp; "_" &amp; Z17, KLIMA_DB!$A$3:$I$250, 5, FALSE))*$O$35, 0)</f>
        <v>3470.8517249999995</v>
      </c>
      <c r="G17" s="81">
        <f t="shared" si="2"/>
        <v>10442.099085</v>
      </c>
      <c r="H17" s="82">
        <f t="shared" si="3"/>
        <v>0.37780191747137171</v>
      </c>
      <c r="I17" s="82">
        <f t="shared" si="4"/>
        <v>0.97409748828832443</v>
      </c>
      <c r="J17" s="81">
        <f t="shared" si="5"/>
        <v>17467.461912885283</v>
      </c>
      <c r="K17" s="79" t="str">
        <f t="shared" si="6"/>
        <v>ÁNO</v>
      </c>
      <c r="Z17">
        <v>2</v>
      </c>
    </row>
    <row r="18" spans="1:26" x14ac:dyDescent="0.2">
      <c r="A18" s="79" t="s">
        <v>372</v>
      </c>
      <c r="B18" s="79">
        <v>31</v>
      </c>
      <c r="C18" s="80">
        <f>VLOOKUP('Správa TOB'!$I$12 &amp; "_" &amp; Z18, KLIMA_DB!$A$3:$I$250, 4, FALSE)</f>
        <v>5.4020000000000001</v>
      </c>
      <c r="D18" s="81">
        <f t="shared" si="0"/>
        <v>22389.203071037977</v>
      </c>
      <c r="E18" s="81">
        <f t="shared" si="1"/>
        <v>7718.1667200000011</v>
      </c>
      <c r="F18" s="81">
        <f>IF(C18&lt;D$8, (VLOOKUP('Správa TOB'!$I$12 &amp; "_" &amp; Z18, KLIMA_DB!$A$3:$I$250, 6, FALSE))*$O$30 + (VLOOKUP('Správa TOB'!$I$12 &amp; "_" &amp; Z18, KLIMA_DB!$A$3:$I$250, 7, FALSE))*$O$31 + (((VLOOKUP('Správa TOB'!$I$12 &amp; "_" &amp; Z18, KLIMA_DB!$A$3:$I$250, 8, FALSE)+VLOOKUP('Správa TOB'!$I$12 &amp; "_" &amp; Z18, KLIMA_DB!$A$3:$I$250, 9, FALSE))/2))*$O$32 + (((VLOOKUP('Správa TOB'!$I$12 &amp; "_" &amp; Z18, KLIMA_DB!$A$3:$I$250, 6, FALSE)+VLOOKUP('Správa TOB'!$I$12 &amp; "_" &amp; Z18, KLIMA_DB!$A$3:$I$250, 8, FALSE))/2))*$O$33 + (((VLOOKUP('Správa TOB'!$I$12 &amp; "_" &amp; Z18, KLIMA_DB!$A$3:$I$250, 7, FALSE)+VLOOKUP('Správa TOB'!$I$12 &amp; "_" &amp; Z18, KLIMA_DB!$A$3:$I$250, 8, FALSE))/2))*$O$34 + (VLOOKUP('Správa TOB'!$I$12 &amp; "_" &amp; Z18, KLIMA_DB!$A$3:$I$250, 5, FALSE))*$O$35, 0)</f>
        <v>5738.7311783999994</v>
      </c>
      <c r="G18" s="81">
        <f t="shared" si="2"/>
        <v>13456.8978984</v>
      </c>
      <c r="H18" s="82">
        <f t="shared" si="3"/>
        <v>0.60104407716983255</v>
      </c>
      <c r="I18" s="82">
        <f t="shared" si="4"/>
        <v>0.91538849476765094</v>
      </c>
      <c r="J18" s="81">
        <f t="shared" si="5"/>
        <v>10070.913559579634</v>
      </c>
      <c r="K18" s="79" t="str">
        <f t="shared" si="6"/>
        <v>ÁNO</v>
      </c>
      <c r="Z18">
        <v>3</v>
      </c>
    </row>
    <row r="19" spans="1:26" x14ac:dyDescent="0.2">
      <c r="A19" s="79" t="s">
        <v>373</v>
      </c>
      <c r="B19" s="79">
        <v>30</v>
      </c>
      <c r="C19" s="80">
        <f>VLOOKUP('Správa TOB'!$I$12 &amp; "_" &amp; Z19, KLIMA_DB!$A$3:$I$250, 4, FALSE)</f>
        <v>10.769</v>
      </c>
      <c r="D19" s="81">
        <f t="shared" si="0"/>
        <v>12720.46880426449</v>
      </c>
      <c r="E19" s="81">
        <f t="shared" si="1"/>
        <v>7469.1936000000005</v>
      </c>
      <c r="F19" s="81">
        <f>IF(C19&lt;D$8, (VLOOKUP('Správa TOB'!$I$12 &amp; "_" &amp; Z19, KLIMA_DB!$A$3:$I$250, 6, FALSE))*$O$30 + (VLOOKUP('Správa TOB'!$I$12 &amp; "_" &amp; Z19, KLIMA_DB!$A$3:$I$250, 7, FALSE))*$O$31 + (((VLOOKUP('Správa TOB'!$I$12 &amp; "_" &amp; Z19, KLIMA_DB!$A$3:$I$250, 8, FALSE)+VLOOKUP('Správa TOB'!$I$12 &amp; "_" &amp; Z19, KLIMA_DB!$A$3:$I$250, 9, FALSE))/2))*$O$32 + (((VLOOKUP('Správa TOB'!$I$12 &amp; "_" &amp; Z19, KLIMA_DB!$A$3:$I$250, 6, FALSE)+VLOOKUP('Správa TOB'!$I$12 &amp; "_" &amp; Z19, KLIMA_DB!$A$3:$I$250, 8, FALSE))/2))*$O$33 + (((VLOOKUP('Správa TOB'!$I$12 &amp; "_" &amp; Z19, KLIMA_DB!$A$3:$I$250, 7, FALSE)+VLOOKUP('Správa TOB'!$I$12 &amp; "_" &amp; Z19, KLIMA_DB!$A$3:$I$250, 8, FALSE))/2))*$O$34 + (VLOOKUP('Správa TOB'!$I$12 &amp; "_" &amp; Z19, KLIMA_DB!$A$3:$I$250, 5, FALSE))*$O$35, 0)</f>
        <v>8751.4724021999991</v>
      </c>
      <c r="G19" s="81">
        <f t="shared" si="2"/>
        <v>16220.6660022</v>
      </c>
      <c r="H19" s="82">
        <f t="shared" si="3"/>
        <v>1.2751625943819052</v>
      </c>
      <c r="I19" s="82">
        <f t="shared" si="4"/>
        <v>0.66639492330895167</v>
      </c>
      <c r="J19" s="81">
        <f t="shared" si="5"/>
        <v>1911.0993277083016</v>
      </c>
      <c r="K19" s="79" t="str">
        <f t="shared" si="6"/>
        <v>ÁNO</v>
      </c>
      <c r="Z19">
        <v>4</v>
      </c>
    </row>
    <row r="20" spans="1:26" x14ac:dyDescent="0.2">
      <c r="A20" s="79" t="s">
        <v>374</v>
      </c>
      <c r="B20" s="79">
        <v>31</v>
      </c>
      <c r="C20" s="80">
        <f>VLOOKUP('Správa TOB'!$I$12 &amp; "_" &amp; Z20, KLIMA_DB!$A$3:$I$250, 4, FALSE)</f>
        <v>15.669</v>
      </c>
      <c r="D20" s="81">
        <f t="shared" si="0"/>
        <v>4704.178611094374</v>
      </c>
      <c r="E20" s="81">
        <f t="shared" si="1"/>
        <v>7718.1667200000011</v>
      </c>
      <c r="F20" s="81">
        <f>IF(C20&lt;D$8, (VLOOKUP('Správa TOB'!$I$12 &amp; "_" &amp; Z20, KLIMA_DB!$A$3:$I$250, 6, FALSE))*$O$30 + (VLOOKUP('Správa TOB'!$I$12 &amp; "_" &amp; Z20, KLIMA_DB!$A$3:$I$250, 7, FALSE))*$O$31 + (((VLOOKUP('Správa TOB'!$I$12 &amp; "_" &amp; Z20, KLIMA_DB!$A$3:$I$250, 8, FALSE)+VLOOKUP('Správa TOB'!$I$12 &amp; "_" &amp; Z20, KLIMA_DB!$A$3:$I$250, 9, FALSE))/2))*$O$32 + (((VLOOKUP('Správa TOB'!$I$12 &amp; "_" &amp; Z20, KLIMA_DB!$A$3:$I$250, 6, FALSE)+VLOOKUP('Správa TOB'!$I$12 &amp; "_" &amp; Z20, KLIMA_DB!$A$3:$I$250, 8, FALSE))/2))*$O$33 + (((VLOOKUP('Správa TOB'!$I$12 &amp; "_" &amp; Z20, KLIMA_DB!$A$3:$I$250, 7, FALSE)+VLOOKUP('Správa TOB'!$I$12 &amp; "_" &amp; Z20, KLIMA_DB!$A$3:$I$250, 8, FALSE))/2))*$O$34 + (VLOOKUP('Správa TOB'!$I$12 &amp; "_" &amp; Z20, KLIMA_DB!$A$3:$I$250, 5, FALSE))*$O$35, 0)</f>
        <v>10754.5527936</v>
      </c>
      <c r="G20" s="81">
        <f t="shared" si="2"/>
        <v>18472.719513600001</v>
      </c>
      <c r="H20" s="82">
        <f t="shared" si="3"/>
        <v>3.9268746025148333</v>
      </c>
      <c r="I20" s="82">
        <f t="shared" si="4"/>
        <v>0.25251763811338052</v>
      </c>
      <c r="J20" s="81">
        <f t="shared" si="5"/>
        <v>39.491109989146025</v>
      </c>
      <c r="K20" s="79" t="str">
        <f t="shared" si="6"/>
        <v>ÁNO</v>
      </c>
      <c r="Z20">
        <v>5</v>
      </c>
    </row>
    <row r="21" spans="1:26" x14ac:dyDescent="0.2">
      <c r="A21" s="79" t="s">
        <v>375</v>
      </c>
      <c r="B21" s="79">
        <v>30</v>
      </c>
      <c r="C21" s="80">
        <f>VLOOKUP('Správa TOB'!$I$12 &amp; "_" &amp; Z21, KLIMA_DB!$A$3:$I$250, 4, FALSE)</f>
        <v>18.702500000000001</v>
      </c>
      <c r="D21" s="81">
        <f t="shared" si="0"/>
        <v>0</v>
      </c>
      <c r="E21" s="81">
        <f t="shared" si="1"/>
        <v>0</v>
      </c>
      <c r="F21" s="81">
        <f>IF(C21&lt;D$8, (VLOOKUP('Správa TOB'!$I$12 &amp; "_" &amp; Z21, KLIMA_DB!$A$3:$I$250, 6, FALSE))*$O$30 + (VLOOKUP('Správa TOB'!$I$12 &amp; "_" &amp; Z21, KLIMA_DB!$A$3:$I$250, 7, FALSE))*$O$31 + (((VLOOKUP('Správa TOB'!$I$12 &amp; "_" &amp; Z21, KLIMA_DB!$A$3:$I$250, 8, FALSE)+VLOOKUP('Správa TOB'!$I$12 &amp; "_" &amp; Z21, KLIMA_DB!$A$3:$I$250, 9, FALSE))/2))*$O$32 + (((VLOOKUP('Správa TOB'!$I$12 &amp; "_" &amp; Z21, KLIMA_DB!$A$3:$I$250, 6, FALSE)+VLOOKUP('Správa TOB'!$I$12 &amp; "_" &amp; Z21, KLIMA_DB!$A$3:$I$250, 8, FALSE))/2))*$O$33 + (((VLOOKUP('Správa TOB'!$I$12 &amp; "_" &amp; Z21, KLIMA_DB!$A$3:$I$250, 7, FALSE)+VLOOKUP('Správa TOB'!$I$12 &amp; "_" &amp; Z21, KLIMA_DB!$A$3:$I$250, 8, FALSE))/2))*$O$34 + (VLOOKUP('Správa TOB'!$I$12 &amp; "_" &amp; Z21, KLIMA_DB!$A$3:$I$250, 5, FALSE))*$O$35, 0)</f>
        <v>0</v>
      </c>
      <c r="G21" s="81">
        <f t="shared" si="2"/>
        <v>0</v>
      </c>
      <c r="H21" s="82">
        <f t="shared" si="3"/>
        <v>0</v>
      </c>
      <c r="I21" s="82">
        <f t="shared" si="4"/>
        <v>0</v>
      </c>
      <c r="J21" s="81">
        <f t="shared" si="5"/>
        <v>0</v>
      </c>
      <c r="K21" s="79" t="str">
        <f t="shared" si="6"/>
        <v>nie</v>
      </c>
      <c r="Z21">
        <v>6</v>
      </c>
    </row>
    <row r="22" spans="1:26" x14ac:dyDescent="0.2">
      <c r="A22" s="79" t="s">
        <v>376</v>
      </c>
      <c r="B22" s="79">
        <v>31</v>
      </c>
      <c r="C22" s="80">
        <f>VLOOKUP('Správa TOB'!$I$12 &amp; "_" &amp; Z22, KLIMA_DB!$A$3:$I$250, 4, FALSE)</f>
        <v>20.4025</v>
      </c>
      <c r="D22" s="81">
        <f t="shared" si="0"/>
        <v>0</v>
      </c>
      <c r="E22" s="81">
        <f t="shared" si="1"/>
        <v>0</v>
      </c>
      <c r="F22" s="81">
        <f>IF(C22&lt;D$8, (VLOOKUP('Správa TOB'!$I$12 &amp; "_" &amp; Z22, KLIMA_DB!$A$3:$I$250, 6, FALSE))*$O$30 + (VLOOKUP('Správa TOB'!$I$12 &amp; "_" &amp; Z22, KLIMA_DB!$A$3:$I$250, 7, FALSE))*$O$31 + (((VLOOKUP('Správa TOB'!$I$12 &amp; "_" &amp; Z22, KLIMA_DB!$A$3:$I$250, 8, FALSE)+VLOOKUP('Správa TOB'!$I$12 &amp; "_" &amp; Z22, KLIMA_DB!$A$3:$I$250, 9, FALSE))/2))*$O$32 + (((VLOOKUP('Správa TOB'!$I$12 &amp; "_" &amp; Z22, KLIMA_DB!$A$3:$I$250, 6, FALSE)+VLOOKUP('Správa TOB'!$I$12 &amp; "_" &amp; Z22, KLIMA_DB!$A$3:$I$250, 8, FALSE))/2))*$O$33 + (((VLOOKUP('Správa TOB'!$I$12 &amp; "_" &amp; Z22, KLIMA_DB!$A$3:$I$250, 7, FALSE)+VLOOKUP('Správa TOB'!$I$12 &amp; "_" &amp; Z22, KLIMA_DB!$A$3:$I$250, 8, FALSE))/2))*$O$34 + (VLOOKUP('Správa TOB'!$I$12 &amp; "_" &amp; Z22, KLIMA_DB!$A$3:$I$250, 5, FALSE))*$O$35, 0)</f>
        <v>0</v>
      </c>
      <c r="G22" s="81">
        <f t="shared" si="2"/>
        <v>0</v>
      </c>
      <c r="H22" s="82">
        <f t="shared" si="3"/>
        <v>0</v>
      </c>
      <c r="I22" s="82">
        <f t="shared" si="4"/>
        <v>0</v>
      </c>
      <c r="J22" s="81">
        <f t="shared" si="5"/>
        <v>0</v>
      </c>
      <c r="K22" s="79" t="str">
        <f t="shared" si="6"/>
        <v>nie</v>
      </c>
      <c r="Z22">
        <v>7</v>
      </c>
    </row>
    <row r="23" spans="1:26" x14ac:dyDescent="0.2">
      <c r="A23" s="79" t="s">
        <v>377</v>
      </c>
      <c r="B23" s="79">
        <v>31</v>
      </c>
      <c r="C23" s="80">
        <f>VLOOKUP('Správa TOB'!$I$12 &amp; "_" &amp; Z23, KLIMA_DB!$A$3:$I$250, 4, FALSE)</f>
        <v>19.802499999999998</v>
      </c>
      <c r="D23" s="81">
        <f t="shared" si="0"/>
        <v>0</v>
      </c>
      <c r="E23" s="81">
        <f t="shared" si="1"/>
        <v>0</v>
      </c>
      <c r="F23" s="81">
        <f>IF(C23&lt;D$8, (VLOOKUP('Správa TOB'!$I$12 &amp; "_" &amp; Z23, KLIMA_DB!$A$3:$I$250, 6, FALSE))*$O$30 + (VLOOKUP('Správa TOB'!$I$12 &amp; "_" &amp; Z23, KLIMA_DB!$A$3:$I$250, 7, FALSE))*$O$31 + (((VLOOKUP('Správa TOB'!$I$12 &amp; "_" &amp; Z23, KLIMA_DB!$A$3:$I$250, 8, FALSE)+VLOOKUP('Správa TOB'!$I$12 &amp; "_" &amp; Z23, KLIMA_DB!$A$3:$I$250, 9, FALSE))/2))*$O$32 + (((VLOOKUP('Správa TOB'!$I$12 &amp; "_" &amp; Z23, KLIMA_DB!$A$3:$I$250, 6, FALSE)+VLOOKUP('Správa TOB'!$I$12 &amp; "_" &amp; Z23, KLIMA_DB!$A$3:$I$250, 8, FALSE))/2))*$O$33 + (((VLOOKUP('Správa TOB'!$I$12 &amp; "_" &amp; Z23, KLIMA_DB!$A$3:$I$250, 7, FALSE)+VLOOKUP('Správa TOB'!$I$12 &amp; "_" &amp; Z23, KLIMA_DB!$A$3:$I$250, 8, FALSE))/2))*$O$34 + (VLOOKUP('Správa TOB'!$I$12 &amp; "_" &amp; Z23, KLIMA_DB!$A$3:$I$250, 5, FALSE))*$O$35, 0)</f>
        <v>0</v>
      </c>
      <c r="G23" s="81">
        <f t="shared" si="2"/>
        <v>0</v>
      </c>
      <c r="H23" s="82">
        <f t="shared" si="3"/>
        <v>0</v>
      </c>
      <c r="I23" s="82">
        <f t="shared" si="4"/>
        <v>0</v>
      </c>
      <c r="J23" s="81">
        <f t="shared" si="5"/>
        <v>0</v>
      </c>
      <c r="K23" s="79" t="str">
        <f t="shared" si="6"/>
        <v>nie</v>
      </c>
      <c r="Z23">
        <v>8</v>
      </c>
    </row>
    <row r="24" spans="1:26" x14ac:dyDescent="0.2">
      <c r="A24" s="79" t="s">
        <v>378</v>
      </c>
      <c r="B24" s="79">
        <v>30</v>
      </c>
      <c r="C24" s="80">
        <f>VLOOKUP('Správa TOB'!$I$12 &amp; "_" &amp; Z24, KLIMA_DB!$A$3:$I$250, 4, FALSE)</f>
        <v>15.435499999999999</v>
      </c>
      <c r="D24" s="81">
        <f t="shared" si="0"/>
        <v>4941.6629236328226</v>
      </c>
      <c r="E24" s="81">
        <f t="shared" si="1"/>
        <v>7469.1936000000005</v>
      </c>
      <c r="F24" s="81">
        <f>IF(C24&lt;D$8, (VLOOKUP('Správa TOB'!$I$12 &amp; "_" &amp; Z24, KLIMA_DB!$A$3:$I$250, 6, FALSE))*$O$30 + (VLOOKUP('Správa TOB'!$I$12 &amp; "_" &amp; Z24, KLIMA_DB!$A$3:$I$250, 7, FALSE))*$O$31 + (((VLOOKUP('Správa TOB'!$I$12 &amp; "_" &amp; Z24, KLIMA_DB!$A$3:$I$250, 8, FALSE)+VLOOKUP('Správa TOB'!$I$12 &amp; "_" &amp; Z24, KLIMA_DB!$A$3:$I$250, 9, FALSE))/2))*$O$32 + (((VLOOKUP('Správa TOB'!$I$12 &amp; "_" &amp; Z24, KLIMA_DB!$A$3:$I$250, 6, FALSE)+VLOOKUP('Správa TOB'!$I$12 &amp; "_" &amp; Z24, KLIMA_DB!$A$3:$I$250, 8, FALSE))/2))*$O$33 + (((VLOOKUP('Správa TOB'!$I$12 &amp; "_" &amp; Z24, KLIMA_DB!$A$3:$I$250, 7, FALSE)+VLOOKUP('Správa TOB'!$I$12 &amp; "_" &amp; Z24, KLIMA_DB!$A$3:$I$250, 8, FALSE))/2))*$O$34 + (VLOOKUP('Správa TOB'!$I$12 &amp; "_" &amp; Z24, KLIMA_DB!$A$3:$I$250, 5, FALSE))*$O$35, 0)</f>
        <v>7135.172721599999</v>
      </c>
      <c r="G24" s="81">
        <f t="shared" si="2"/>
        <v>14604.366321599999</v>
      </c>
      <c r="H24" s="82">
        <f t="shared" si="3"/>
        <v>2.9553546138804059</v>
      </c>
      <c r="I24" s="82">
        <f t="shared" si="4"/>
        <v>0.33191616746675673</v>
      </c>
      <c r="J24" s="81">
        <f t="shared" si="5"/>
        <v>94.237625886775277</v>
      </c>
      <c r="K24" s="79" t="str">
        <f t="shared" si="6"/>
        <v>ÁNO</v>
      </c>
      <c r="Z24">
        <v>9</v>
      </c>
    </row>
    <row r="25" spans="1:26" x14ac:dyDescent="0.2">
      <c r="A25" s="79" t="s">
        <v>379</v>
      </c>
      <c r="B25" s="79">
        <v>31</v>
      </c>
      <c r="C25" s="80">
        <f>VLOOKUP('Správa TOB'!$I$12 &amp; "_" &amp; Z25, KLIMA_DB!$A$3:$I$250, 4, FALSE)</f>
        <v>10.035</v>
      </c>
      <c r="D25" s="81">
        <f t="shared" si="0"/>
        <v>14408.807792678312</v>
      </c>
      <c r="E25" s="81">
        <f t="shared" si="1"/>
        <v>7718.1667200000011</v>
      </c>
      <c r="F25" s="81">
        <f>IF(C25&lt;D$8, (VLOOKUP('Správa TOB'!$I$12 &amp; "_" &amp; Z25, KLIMA_DB!$A$3:$I$250, 6, FALSE))*$O$30 + (VLOOKUP('Správa TOB'!$I$12 &amp; "_" &amp; Z25, KLIMA_DB!$A$3:$I$250, 7, FALSE))*$O$31 + (((VLOOKUP('Správa TOB'!$I$12 &amp; "_" &amp; Z25, KLIMA_DB!$A$3:$I$250, 8, FALSE)+VLOOKUP('Správa TOB'!$I$12 &amp; "_" &amp; Z25, KLIMA_DB!$A$3:$I$250, 9, FALSE))/2))*$O$32 + (((VLOOKUP('Správa TOB'!$I$12 &amp; "_" &amp; Z25, KLIMA_DB!$A$3:$I$250, 6, FALSE)+VLOOKUP('Správa TOB'!$I$12 &amp; "_" &amp; Z25, KLIMA_DB!$A$3:$I$250, 8, FALSE))/2))*$O$33 + (((VLOOKUP('Správa TOB'!$I$12 &amp; "_" &amp; Z25, KLIMA_DB!$A$3:$I$250, 7, FALSE)+VLOOKUP('Správa TOB'!$I$12 &amp; "_" &amp; Z25, KLIMA_DB!$A$3:$I$250, 8, FALSE))/2))*$O$34 + (VLOOKUP('Správa TOB'!$I$12 &amp; "_" &amp; Z25, KLIMA_DB!$A$3:$I$250, 5, FALSE))*$O$35, 0)</f>
        <v>4374.4285661999993</v>
      </c>
      <c r="G25" s="81">
        <f t="shared" si="2"/>
        <v>12092.595286200001</v>
      </c>
      <c r="H25" s="82">
        <f t="shared" si="3"/>
        <v>0.83925023223258832</v>
      </c>
      <c r="I25" s="82">
        <f t="shared" si="4"/>
        <v>0.82864722699964799</v>
      </c>
      <c r="J25" s="81">
        <f t="shared" si="5"/>
        <v>4388.3122415396665</v>
      </c>
      <c r="K25" s="79" t="str">
        <f t="shared" si="6"/>
        <v>ÁNO</v>
      </c>
      <c r="Z25">
        <v>10</v>
      </c>
    </row>
    <row r="26" spans="1:26" x14ac:dyDescent="0.2">
      <c r="A26" s="79" t="s">
        <v>380</v>
      </c>
      <c r="B26" s="79">
        <v>30</v>
      </c>
      <c r="C26" s="80">
        <f>VLOOKUP('Správa TOB'!$I$12 &amp; "_" &amp; Z26, KLIMA_DB!$A$3:$I$250, 4, FALSE)</f>
        <v>4.5015000000000001</v>
      </c>
      <c r="D26" s="81">
        <f t="shared" si="0"/>
        <v>23168.056044564277</v>
      </c>
      <c r="E26" s="81">
        <f t="shared" si="1"/>
        <v>7469.1936000000005</v>
      </c>
      <c r="F26" s="81">
        <f>IF(C26&lt;D$8, (VLOOKUP('Správa TOB'!$I$12 &amp; "_" &amp; Z26, KLIMA_DB!$A$3:$I$250, 6, FALSE))*$O$30 + (VLOOKUP('Správa TOB'!$I$12 &amp; "_" &amp; Z26, KLIMA_DB!$A$3:$I$250, 7, FALSE))*$O$31 + (((VLOOKUP('Správa TOB'!$I$12 &amp; "_" &amp; Z26, KLIMA_DB!$A$3:$I$250, 8, FALSE)+VLOOKUP('Správa TOB'!$I$12 &amp; "_" &amp; Z26, KLIMA_DB!$A$3:$I$250, 9, FALSE))/2))*$O$32 + (((VLOOKUP('Správa TOB'!$I$12 &amp; "_" &amp; Z26, KLIMA_DB!$A$3:$I$250, 6, FALSE)+VLOOKUP('Správa TOB'!$I$12 &amp; "_" &amp; Z26, KLIMA_DB!$A$3:$I$250, 8, FALSE))/2))*$O$33 + (((VLOOKUP('Správa TOB'!$I$12 &amp; "_" &amp; Z26, KLIMA_DB!$A$3:$I$250, 7, FALSE)+VLOOKUP('Správa TOB'!$I$12 &amp; "_" &amp; Z26, KLIMA_DB!$A$3:$I$250, 8, FALSE))/2))*$O$34 + (VLOOKUP('Správa TOB'!$I$12 &amp; "_" &amp; Z26, KLIMA_DB!$A$3:$I$250, 5, FALSE))*$O$35, 0)</f>
        <v>2251.2346691999996</v>
      </c>
      <c r="G26" s="81">
        <f t="shared" si="2"/>
        <v>9720.4282691999997</v>
      </c>
      <c r="H26" s="82">
        <f t="shared" si="3"/>
        <v>0.41956166933050132</v>
      </c>
      <c r="I26" s="82">
        <f t="shared" si="4"/>
        <v>0.96560574434515767</v>
      </c>
      <c r="J26" s="81">
        <f t="shared" si="5"/>
        <v>13781.954670329698</v>
      </c>
      <c r="K26" s="79" t="str">
        <f t="shared" si="6"/>
        <v>ÁNO</v>
      </c>
      <c r="Z26">
        <v>11</v>
      </c>
    </row>
    <row r="27" spans="1:26" x14ac:dyDescent="0.2">
      <c r="A27" s="79" t="s">
        <v>381</v>
      </c>
      <c r="B27" s="79">
        <v>31</v>
      </c>
      <c r="C27" s="80">
        <f>VLOOKUP('Správa TOB'!$I$12 &amp; "_" &amp; Z27, KLIMA_DB!$A$3:$I$250, 4, FALSE)</f>
        <v>-9.8499999999999921E-2</v>
      </c>
      <c r="D27" s="81">
        <f t="shared" si="0"/>
        <v>31863.876981812282</v>
      </c>
      <c r="E27" s="81">
        <f t="shared" si="1"/>
        <v>7718.1667200000011</v>
      </c>
      <c r="F27" s="81">
        <f>IF(C27&lt;D$8, (VLOOKUP('Správa TOB'!$I$12 &amp; "_" &amp; Z27, KLIMA_DB!$A$3:$I$250, 6, FALSE))*$O$30 + (VLOOKUP('Správa TOB'!$I$12 &amp; "_" &amp; Z27, KLIMA_DB!$A$3:$I$250, 7, FALSE))*$O$31 + (((VLOOKUP('Správa TOB'!$I$12 &amp; "_" &amp; Z27, KLIMA_DB!$A$3:$I$250, 8, FALSE)+VLOOKUP('Správa TOB'!$I$12 &amp; "_" &amp; Z27, KLIMA_DB!$A$3:$I$250, 9, FALSE))/2))*$O$32 + (((VLOOKUP('Správa TOB'!$I$12 &amp; "_" &amp; Z27, KLIMA_DB!$A$3:$I$250, 6, FALSE)+VLOOKUP('Správa TOB'!$I$12 &amp; "_" &amp; Z27, KLIMA_DB!$A$3:$I$250, 8, FALSE))/2))*$O$33 + (((VLOOKUP('Správa TOB'!$I$12 &amp; "_" &amp; Z27, KLIMA_DB!$A$3:$I$250, 7, FALSE)+VLOOKUP('Správa TOB'!$I$12 &amp; "_" &amp; Z27, KLIMA_DB!$A$3:$I$250, 8, FALSE))/2))*$O$34 + (VLOOKUP('Správa TOB'!$I$12 &amp; "_" &amp; Z27, KLIMA_DB!$A$3:$I$250, 5, FALSE))*$O$35, 0)</f>
        <v>1826.4924348</v>
      </c>
      <c r="G27" s="81">
        <f t="shared" si="2"/>
        <v>9544.6591548000015</v>
      </c>
      <c r="H27" s="82">
        <f t="shared" si="3"/>
        <v>0.29954481559943374</v>
      </c>
      <c r="I27" s="82">
        <f t="shared" si="4"/>
        <v>0.98651992852550696</v>
      </c>
      <c r="J27" s="81">
        <f t="shared" si="5"/>
        <v>22447.880514618657</v>
      </c>
      <c r="K27" s="79" t="str">
        <f t="shared" si="6"/>
        <v>ÁNO</v>
      </c>
      <c r="Z27">
        <v>12</v>
      </c>
    </row>
    <row r="28" spans="1:26" ht="15" x14ac:dyDescent="0.25">
      <c r="A28" s="83" t="s">
        <v>382</v>
      </c>
      <c r="B28" s="83"/>
      <c r="C28" s="83"/>
      <c r="D28" s="84">
        <f>SUM(D16:D27)</f>
        <v>176340.68683431344</v>
      </c>
      <c r="E28" s="84">
        <f>SUM(E16:E27)</f>
        <v>67969.661760000003</v>
      </c>
      <c r="F28" s="84">
        <f>SUM(F16:F27)</f>
        <v>46397.190648599993</v>
      </c>
      <c r="G28" s="84">
        <f>SUM(G16:G27)</f>
        <v>114366.8524086</v>
      </c>
      <c r="H28" s="83"/>
      <c r="I28" s="85">
        <f>IF(G28&gt;0, (I16*G16+I17*G17+I18*G18+I19*G19+I20*G20+I21*G21+I22*G22+I23*G23+I24*G24+I25*G25+I26*G26+I27*G27)/G28, 0)</f>
        <v>0.71115530987982678</v>
      </c>
      <c r="J28" s="84">
        <f>SUM(J16:J27)</f>
        <v>95008.092469695082</v>
      </c>
      <c r="K28" s="83"/>
      <c r="O28">
        <f>SUMPRODUCT((C16:C27&lt;D8)*B16:B27)</f>
        <v>273</v>
      </c>
      <c r="P28">
        <f>IFERROR(SUMPRODUCT((C16:C27&lt;D8)*C16:C27*B16:B27)/O28, 0)</f>
        <v>6.7750934065934079</v>
      </c>
      <c r="Q28">
        <f>SUMPRODUCT((C16:C27&lt;D8)*(D8-C16:C27)*B16:B27)</f>
        <v>3173.5994999999998</v>
      </c>
    </row>
    <row r="30" spans="1:26" x14ac:dyDescent="0.2">
      <c r="N30" t="s">
        <v>383</v>
      </c>
      <c r="O30">
        <f>IF(AND(ISNUMBER('Správa TOB'!I75),ISNUMBER('Správa TOB'!F75),ISNUMBER('Správa TOB'!G75)),'Správa TOB'!I75*'Správa TOB'!F75*'Správa TOB'!G75*0.5,0)</f>
        <v>37.018739999999994</v>
      </c>
    </row>
    <row r="31" spans="1:26" x14ac:dyDescent="0.2">
      <c r="N31" t="s">
        <v>384</v>
      </c>
      <c r="O31">
        <f>IF(AND(ISNUMBER('Správa TOB'!I76),ISNUMBER('Správa TOB'!F76),ISNUMBER('Správa TOB'!G76)),'Správa TOB'!I76*'Správa TOB'!F76*'Správa TOB'!G76*0.5,0)</f>
        <v>31.522919999999999</v>
      </c>
    </row>
    <row r="32" spans="1:26" x14ac:dyDescent="0.2">
      <c r="N32" t="s">
        <v>385</v>
      </c>
      <c r="O32">
        <f>IF(AND(ISNUMBER('Správa TOB'!I77),ISNUMBER('Správa TOB'!F77),ISNUMBER('Správa TOB'!G77)),'Správa TOB'!I77*'Správa TOB'!F77*'Správa TOB'!G77*0.5,0)</f>
        <v>1.8331499999999998</v>
      </c>
    </row>
    <row r="33" spans="1:15" x14ac:dyDescent="0.2">
      <c r="N33" t="s">
        <v>386</v>
      </c>
      <c r="O33">
        <f>IF(AND(ISNUMBER('Správa TOB'!I78),ISNUMBER('Správa TOB'!F78),ISNUMBER('Správa TOB'!G78)),'Správa TOB'!I78*'Správa TOB'!F78*'Správa TOB'!G78*0.5,0)</f>
        <v>0</v>
      </c>
    </row>
    <row r="34" spans="1:15" x14ac:dyDescent="0.2">
      <c r="N34" t="s">
        <v>387</v>
      </c>
      <c r="O34">
        <f>IF(AND(ISNUMBER('Správa TOB'!I79),ISNUMBER('Správa TOB'!F79),ISNUMBER('Správa TOB'!G79)),'Správa TOB'!I79*'Správa TOB'!F79*'Správa TOB'!G79*0.5,0)</f>
        <v>0</v>
      </c>
    </row>
    <row r="35" spans="1:15" x14ac:dyDescent="0.2">
      <c r="N35" t="s">
        <v>388</v>
      </c>
      <c r="O35">
        <f>IF(AND(ISNUMBER('Správa TOB'!I80),ISNUMBER('Správa TOB'!F80),ISNUMBER('Správa TOB'!G80)),'Správa TOB'!I80*'Správa TOB'!F80*'Správa TOB'!G80*0.5,0)</f>
        <v>0</v>
      </c>
    </row>
    <row r="39" spans="1:15" ht="18.75" x14ac:dyDescent="0.3">
      <c r="A39" s="74" t="s">
        <v>389</v>
      </c>
    </row>
    <row r="40" spans="1:15" ht="15" x14ac:dyDescent="0.25">
      <c r="A40" s="75" t="s">
        <v>390</v>
      </c>
    </row>
    <row r="42" spans="1:15" ht="15" x14ac:dyDescent="0.25">
      <c r="A42" s="76" t="s">
        <v>391</v>
      </c>
    </row>
    <row r="43" spans="1:15" ht="15" x14ac:dyDescent="0.25">
      <c r="A43" s="77" t="s">
        <v>352</v>
      </c>
      <c r="D43" s="76">
        <f>'Správa TOB'!I24</f>
        <v>1728.98</v>
      </c>
    </row>
    <row r="44" spans="1:15" ht="15" x14ac:dyDescent="0.25">
      <c r="A44" s="77" t="s">
        <v>392</v>
      </c>
      <c r="D44" s="76">
        <f>'Správa TOB'!I106</f>
        <v>26</v>
      </c>
      <c r="G44" t="s">
        <v>393</v>
      </c>
      <c r="H44">
        <f>IF(D45&gt;0, D46/(D45*3600), 0)</f>
        <v>34.228056940325565</v>
      </c>
    </row>
    <row r="45" spans="1:15" ht="15" x14ac:dyDescent="0.25">
      <c r="A45" s="77" t="s">
        <v>394</v>
      </c>
      <c r="D45" s="76">
        <f>'Správa TOB'!I112</f>
        <v>2315.2034836457451</v>
      </c>
      <c r="G45" t="s">
        <v>395</v>
      </c>
      <c r="H45">
        <f>1 + H44/15</f>
        <v>3.2818704626883712</v>
      </c>
    </row>
    <row r="46" spans="1:15" ht="15" x14ac:dyDescent="0.25">
      <c r="A46" s="77" t="s">
        <v>359</v>
      </c>
      <c r="D46" s="76">
        <f>D11</f>
        <v>285281700</v>
      </c>
    </row>
    <row r="48" spans="1:15" ht="15" x14ac:dyDescent="0.2">
      <c r="A48" s="86" t="s">
        <v>164</v>
      </c>
      <c r="B48" s="86" t="s">
        <v>360</v>
      </c>
      <c r="C48" s="86" t="s">
        <v>361</v>
      </c>
      <c r="D48" s="86" t="s">
        <v>396</v>
      </c>
      <c r="E48" s="86" t="s">
        <v>397</v>
      </c>
      <c r="F48" s="86" t="s">
        <v>398</v>
      </c>
      <c r="G48" s="86" t="s">
        <v>399</v>
      </c>
      <c r="H48" s="86" t="s">
        <v>400</v>
      </c>
      <c r="I48" s="86" t="s">
        <v>401</v>
      </c>
      <c r="J48" s="86" t="s">
        <v>402</v>
      </c>
      <c r="K48" s="86" t="s">
        <v>403</v>
      </c>
    </row>
    <row r="49" spans="1:19" x14ac:dyDescent="0.2">
      <c r="A49" s="79" t="s">
        <v>370</v>
      </c>
      <c r="B49" s="79">
        <v>31</v>
      </c>
      <c r="C49" s="80">
        <f t="shared" ref="C49:C60" si="7">C16</f>
        <v>-1.6319999999999999</v>
      </c>
      <c r="D49" s="81">
        <f t="shared" ref="D49:D60" si="8">MAX(0, D$45 * (D$44 - C49) * B49 * 24 / 1000)</f>
        <v>47596.434779113828</v>
      </c>
      <c r="E49" s="81">
        <f t="shared" ref="E49:E60" si="9">D$10 * D$43 * B49 * 24 / 1000</f>
        <v>7718.1667200000011</v>
      </c>
      <c r="F49" s="81">
        <f>(VLOOKUP('Správa TOB'!$I$12 &amp; "_" &amp; Z16, KLIMA_DB!$A$3:$I$250, 6, FALSE))*$O$30 + (VLOOKUP('Správa TOB'!$I$12 &amp; "_" &amp; Z16, KLIMA_DB!$A$3:$I$250, 7, FALSE))*$O$31 + (((VLOOKUP('Správa TOB'!$I$12 &amp; "_" &amp; Z16, KLIMA_DB!$A$3:$I$250, 8, FALSE)+VLOOKUP('Správa TOB'!$I$12 &amp; "_" &amp; Z16, KLIMA_DB!$A$3:$I$250, 9, FALSE))/2))*$O$32 + (((VLOOKUP('Správa TOB'!$I$12 &amp; "_" &amp; Z16, KLIMA_DB!$A$3:$I$250, 6, FALSE)+VLOOKUP('Správa TOB'!$I$12 &amp; "_" &amp; Z16, KLIMA_DB!$A$3:$I$250, 8, FALSE))/2))*$O$33 + (((VLOOKUP('Správa TOB'!$I$12 &amp; "_" &amp; Z16, KLIMA_DB!$A$3:$I$250, 7, FALSE)+VLOOKUP('Správa TOB'!$I$12 &amp; "_" &amp; Z16, KLIMA_DB!$A$3:$I$250, 8, FALSE))/2))*$O$34 + (VLOOKUP('Správa TOB'!$I$12 &amp; "_" &amp; Z16, KLIMA_DB!$A$3:$I$250, 5, FALSE))*$O$35 + (VLOOKUP('Správa TOB'!$I$12 &amp; "_" &amp; Z16, KLIMA_DB!$A$3:$I$250, 5, FALSE))*'Správa TOB'!$I$108</f>
        <v>2404.1812823999999</v>
      </c>
      <c r="G49" s="81">
        <f t="shared" ref="G49:G60" si="10">E49+F49</f>
        <v>10122.348002400002</v>
      </c>
      <c r="H49" s="82">
        <f t="shared" ref="H49:H60" si="11">IF(D49&gt;0, G49/D49, 9999)</f>
        <v>0.2126702987182954</v>
      </c>
      <c r="I49" s="82">
        <f t="shared" ref="I49:I60" si="12">IF(D49&lt;=0, 1, IF(H49&lt;=0, 1, IF(ABS(H49-1)&lt;0.001, ($H$45)/($H$45+1), (1 - POWER(H49, -$H$45))/(1 - POWER(H49, -($H$45+1))))))</f>
        <v>0.21162783953296588</v>
      </c>
      <c r="J49" s="81">
        <f t="shared" ref="J49:J60" si="13">IF(C49&gt;=13, MAX(0, G49 - I49*D49), 0)</f>
        <v>0</v>
      </c>
      <c r="K49" s="79" t="str">
        <f t="shared" ref="K49:K60" si="14">IF(J49&gt;0, "ÁNO", "nie")</f>
        <v>nie</v>
      </c>
    </row>
    <row r="50" spans="1:19" x14ac:dyDescent="0.2">
      <c r="A50" s="79" t="s">
        <v>371</v>
      </c>
      <c r="B50" s="79">
        <v>28</v>
      </c>
      <c r="C50" s="80">
        <f t="shared" si="7"/>
        <v>0.63500000000000001</v>
      </c>
      <c r="D50" s="81">
        <f t="shared" si="8"/>
        <v>39463.291635717149</v>
      </c>
      <c r="E50" s="81">
        <f t="shared" si="9"/>
        <v>6971.2473600000003</v>
      </c>
      <c r="F50" s="81">
        <f>(VLOOKUP('Správa TOB'!$I$12 &amp; "_" &amp; Z17, KLIMA_DB!$A$3:$I$250, 6, FALSE))*$O$30 + (VLOOKUP('Správa TOB'!$I$12 &amp; "_" &amp; Z17, KLIMA_DB!$A$3:$I$250, 7, FALSE))*$O$31 + (((VLOOKUP('Správa TOB'!$I$12 &amp; "_" &amp; Z17, KLIMA_DB!$A$3:$I$250, 8, FALSE)+VLOOKUP('Správa TOB'!$I$12 &amp; "_" &amp; Z17, KLIMA_DB!$A$3:$I$250, 9, FALSE))/2))*$O$32 + (((VLOOKUP('Správa TOB'!$I$12 &amp; "_" &amp; Z17, KLIMA_DB!$A$3:$I$250, 6, FALSE)+VLOOKUP('Správa TOB'!$I$12 &amp; "_" &amp; Z17, KLIMA_DB!$A$3:$I$250, 8, FALSE))/2))*$O$33 + (((VLOOKUP('Správa TOB'!$I$12 &amp; "_" &amp; Z17, KLIMA_DB!$A$3:$I$250, 7, FALSE)+VLOOKUP('Správa TOB'!$I$12 &amp; "_" &amp; Z17, KLIMA_DB!$A$3:$I$250, 8, FALSE))/2))*$O$34 + (VLOOKUP('Správa TOB'!$I$12 &amp; "_" &amp; Z17, KLIMA_DB!$A$3:$I$250, 5, FALSE))*$O$35 + (VLOOKUP('Správa TOB'!$I$12 &amp; "_" &amp; Z17, KLIMA_DB!$A$3:$I$250, 5, FALSE))*'Správa TOB'!$I$108</f>
        <v>4044.7908449999995</v>
      </c>
      <c r="G50" s="81">
        <f t="shared" si="10"/>
        <v>11016.038205000001</v>
      </c>
      <c r="H50" s="82">
        <f t="shared" si="11"/>
        <v>0.27914646113882918</v>
      </c>
      <c r="I50" s="82">
        <f t="shared" si="12"/>
        <v>0.27607873714005665</v>
      </c>
      <c r="J50" s="81">
        <f t="shared" si="13"/>
        <v>0</v>
      </c>
      <c r="K50" s="79" t="str">
        <f t="shared" si="14"/>
        <v>nie</v>
      </c>
    </row>
    <row r="51" spans="1:19" x14ac:dyDescent="0.2">
      <c r="A51" s="79" t="s">
        <v>372</v>
      </c>
      <c r="B51" s="79">
        <v>31</v>
      </c>
      <c r="C51" s="80">
        <f t="shared" si="7"/>
        <v>5.4020000000000001</v>
      </c>
      <c r="D51" s="81">
        <f t="shared" si="8"/>
        <v>35480.289648964477</v>
      </c>
      <c r="E51" s="81">
        <f t="shared" si="9"/>
        <v>7718.1667200000011</v>
      </c>
      <c r="F51" s="81">
        <f>(VLOOKUP('Správa TOB'!$I$12 &amp; "_" &amp; Z18, KLIMA_DB!$A$3:$I$250, 6, FALSE))*$O$30 + (VLOOKUP('Správa TOB'!$I$12 &amp; "_" &amp; Z18, KLIMA_DB!$A$3:$I$250, 7, FALSE))*$O$31 + (((VLOOKUP('Správa TOB'!$I$12 &amp; "_" &amp; Z18, KLIMA_DB!$A$3:$I$250, 8, FALSE)+VLOOKUP('Správa TOB'!$I$12 &amp; "_" &amp; Z18, KLIMA_DB!$A$3:$I$250, 9, FALSE))/2))*$O$32 + (((VLOOKUP('Správa TOB'!$I$12 &amp; "_" &amp; Z18, KLIMA_DB!$A$3:$I$250, 6, FALSE)+VLOOKUP('Správa TOB'!$I$12 &amp; "_" &amp; Z18, KLIMA_DB!$A$3:$I$250, 8, FALSE))/2))*$O$33 + (((VLOOKUP('Správa TOB'!$I$12 &amp; "_" &amp; Z18, KLIMA_DB!$A$3:$I$250, 7, FALSE)+VLOOKUP('Správa TOB'!$I$12 &amp; "_" &amp; Z18, KLIMA_DB!$A$3:$I$250, 8, FALSE))/2))*$O$34 + (VLOOKUP('Správa TOB'!$I$12 &amp; "_" &amp; Z18, KLIMA_DB!$A$3:$I$250, 5, FALSE))*$O$35 + (VLOOKUP('Správa TOB'!$I$12 &amp; "_" &amp; Z18, KLIMA_DB!$A$3:$I$250, 5, FALSE))*'Správa TOB'!$I$108</f>
        <v>6760.342811999999</v>
      </c>
      <c r="G51" s="81">
        <f t="shared" si="10"/>
        <v>14478.509532</v>
      </c>
      <c r="H51" s="82">
        <f t="shared" si="11"/>
        <v>0.4080719090866432</v>
      </c>
      <c r="I51" s="82">
        <f t="shared" si="12"/>
        <v>0.39504172981798663</v>
      </c>
      <c r="J51" s="81">
        <f t="shared" si="13"/>
        <v>0</v>
      </c>
      <c r="K51" s="79" t="str">
        <f t="shared" si="14"/>
        <v>nie</v>
      </c>
    </row>
    <row r="52" spans="1:19" x14ac:dyDescent="0.2">
      <c r="A52" s="79" t="s">
        <v>373</v>
      </c>
      <c r="B52" s="79">
        <v>30</v>
      </c>
      <c r="C52" s="80">
        <f t="shared" si="7"/>
        <v>10.769</v>
      </c>
      <c r="D52" s="81">
        <f t="shared" si="8"/>
        <v>25389.262266774007</v>
      </c>
      <c r="E52" s="81">
        <f t="shared" si="9"/>
        <v>7469.1936000000005</v>
      </c>
      <c r="F52" s="81">
        <f>(VLOOKUP('Správa TOB'!$I$12 &amp; "_" &amp; Z19, KLIMA_DB!$A$3:$I$250, 6, FALSE))*$O$30 + (VLOOKUP('Správa TOB'!$I$12 &amp; "_" &amp; Z19, KLIMA_DB!$A$3:$I$250, 7, FALSE))*$O$31 + (((VLOOKUP('Správa TOB'!$I$12 &amp; "_" &amp; Z19, KLIMA_DB!$A$3:$I$250, 8, FALSE)+VLOOKUP('Správa TOB'!$I$12 &amp; "_" &amp; Z19, KLIMA_DB!$A$3:$I$250, 9, FALSE))/2))*$O$32 + (((VLOOKUP('Správa TOB'!$I$12 &amp; "_" &amp; Z19, KLIMA_DB!$A$3:$I$250, 6, FALSE)+VLOOKUP('Správa TOB'!$I$12 &amp; "_" &amp; Z19, KLIMA_DB!$A$3:$I$250, 8, FALSE))/2))*$O$33 + (((VLOOKUP('Správa TOB'!$I$12 &amp; "_" &amp; Z19, KLIMA_DB!$A$3:$I$250, 7, FALSE)+VLOOKUP('Správa TOB'!$I$12 &amp; "_" &amp; Z19, KLIMA_DB!$A$3:$I$250, 8, FALSE))/2))*$O$34 + (VLOOKUP('Správa TOB'!$I$12 &amp; "_" &amp; Z19, KLIMA_DB!$A$3:$I$250, 5, FALSE))*$O$35 + (VLOOKUP('Správa TOB'!$I$12 &amp; "_" &amp; Z19, KLIMA_DB!$A$3:$I$250, 5, FALSE))*'Správa TOB'!$I$108</f>
        <v>10324.065590999999</v>
      </c>
      <c r="G52" s="81">
        <f t="shared" si="10"/>
        <v>17793.259190999997</v>
      </c>
      <c r="H52" s="82">
        <f t="shared" si="11"/>
        <v>0.7008182831009383</v>
      </c>
      <c r="I52" s="82">
        <f t="shared" si="12"/>
        <v>0.61730508528141048</v>
      </c>
      <c r="J52" s="81">
        <f t="shared" si="13"/>
        <v>0</v>
      </c>
      <c r="K52" s="79" t="str">
        <f t="shared" si="14"/>
        <v>nie</v>
      </c>
    </row>
    <row r="53" spans="1:19" x14ac:dyDescent="0.2">
      <c r="A53" s="79" t="s">
        <v>374</v>
      </c>
      <c r="B53" s="79">
        <v>31</v>
      </c>
      <c r="C53" s="80">
        <f t="shared" si="7"/>
        <v>15.669</v>
      </c>
      <c r="D53" s="81">
        <f t="shared" si="8"/>
        <v>17795.26518902088</v>
      </c>
      <c r="E53" s="81">
        <f t="shared" si="9"/>
        <v>7718.1667200000011</v>
      </c>
      <c r="F53" s="81">
        <f>(VLOOKUP('Správa TOB'!$I$12 &amp; "_" &amp; Z20, KLIMA_DB!$A$3:$I$250, 6, FALSE))*$O$30 + (VLOOKUP('Správa TOB'!$I$12 &amp; "_" &amp; Z20, KLIMA_DB!$A$3:$I$250, 7, FALSE))*$O$31 + (((VLOOKUP('Správa TOB'!$I$12 &amp; "_" &amp; Z20, KLIMA_DB!$A$3:$I$250, 8, FALSE)+VLOOKUP('Správa TOB'!$I$12 &amp; "_" &amp; Z20, KLIMA_DB!$A$3:$I$250, 9, FALSE))/2))*$O$32 + (((VLOOKUP('Správa TOB'!$I$12 &amp; "_" &amp; Z20, KLIMA_DB!$A$3:$I$250, 6, FALSE)+VLOOKUP('Správa TOB'!$I$12 &amp; "_" &amp; Z20, KLIMA_DB!$A$3:$I$250, 8, FALSE))/2))*$O$33 + (((VLOOKUP('Správa TOB'!$I$12 &amp; "_" &amp; Z20, KLIMA_DB!$A$3:$I$250, 7, FALSE)+VLOOKUP('Správa TOB'!$I$12 &amp; "_" &amp; Z20, KLIMA_DB!$A$3:$I$250, 8, FALSE))/2))*$O$34 + (VLOOKUP('Správa TOB'!$I$12 &amp; "_" &amp; Z20, KLIMA_DB!$A$3:$I$250, 5, FALSE))*$O$35 + (VLOOKUP('Správa TOB'!$I$12 &amp; "_" &amp; Z20, KLIMA_DB!$A$3:$I$250, 5, FALSE))*'Správa TOB'!$I$108</f>
        <v>12682.9882368</v>
      </c>
      <c r="G53" s="81">
        <f t="shared" si="10"/>
        <v>20401.154956800001</v>
      </c>
      <c r="H53" s="82">
        <f t="shared" si="11"/>
        <v>1.1464372539605014</v>
      </c>
      <c r="I53" s="82">
        <f t="shared" si="12"/>
        <v>0.81586519308715755</v>
      </c>
      <c r="J53" s="81">
        <f t="shared" si="13"/>
        <v>5882.6174873223081</v>
      </c>
      <c r="K53" s="79" t="str">
        <f t="shared" si="14"/>
        <v>ÁNO</v>
      </c>
    </row>
    <row r="54" spans="1:19" x14ac:dyDescent="0.2">
      <c r="A54" s="79" t="s">
        <v>375</v>
      </c>
      <c r="B54" s="79">
        <v>30</v>
      </c>
      <c r="C54" s="80">
        <f t="shared" si="7"/>
        <v>18.702500000000001</v>
      </c>
      <c r="D54" s="81">
        <f t="shared" si="8"/>
        <v>12164.542143771474</v>
      </c>
      <c r="E54" s="81">
        <f t="shared" si="9"/>
        <v>7469.1936000000005</v>
      </c>
      <c r="F54" s="81">
        <f>(VLOOKUP('Správa TOB'!$I$12 &amp; "_" &amp; Z21, KLIMA_DB!$A$3:$I$250, 6, FALSE))*$O$30 + (VLOOKUP('Správa TOB'!$I$12 &amp; "_" &amp; Z21, KLIMA_DB!$A$3:$I$250, 7, FALSE))*$O$31 + (((VLOOKUP('Správa TOB'!$I$12 &amp; "_" &amp; Z21, KLIMA_DB!$A$3:$I$250, 8, FALSE)+VLOOKUP('Správa TOB'!$I$12 &amp; "_" &amp; Z21, KLIMA_DB!$A$3:$I$250, 9, FALSE))/2))*$O$32 + (((VLOOKUP('Správa TOB'!$I$12 &amp; "_" &amp; Z21, KLIMA_DB!$A$3:$I$250, 6, FALSE)+VLOOKUP('Správa TOB'!$I$12 &amp; "_" &amp; Z21, KLIMA_DB!$A$3:$I$250, 8, FALSE))/2))*$O$33 + (((VLOOKUP('Správa TOB'!$I$12 &amp; "_" &amp; Z21, KLIMA_DB!$A$3:$I$250, 7, FALSE)+VLOOKUP('Správa TOB'!$I$12 &amp; "_" &amp; Z21, KLIMA_DB!$A$3:$I$250, 8, FALSE))/2))*$O$34 + (VLOOKUP('Správa TOB'!$I$12 &amp; "_" &amp; Z21, KLIMA_DB!$A$3:$I$250, 5, FALSE))*$O$35 + (VLOOKUP('Správa TOB'!$I$12 &amp; "_" &amp; Z21, KLIMA_DB!$A$3:$I$250, 5, FALSE))*'Správa TOB'!$I$108</f>
        <v>13564.245722099997</v>
      </c>
      <c r="G54" s="81">
        <f t="shared" si="10"/>
        <v>21033.439322099999</v>
      </c>
      <c r="H54" s="82">
        <f t="shared" si="11"/>
        <v>1.7290777633476</v>
      </c>
      <c r="I54" s="82">
        <f t="shared" si="12"/>
        <v>0.92268660107339751</v>
      </c>
      <c r="J54" s="81">
        <f t="shared" si="13"/>
        <v>9809.3792778493971</v>
      </c>
      <c r="K54" s="79" t="str">
        <f t="shared" si="14"/>
        <v>ÁNO</v>
      </c>
    </row>
    <row r="55" spans="1:19" x14ac:dyDescent="0.2">
      <c r="A55" s="79" t="s">
        <v>376</v>
      </c>
      <c r="B55" s="79">
        <v>31</v>
      </c>
      <c r="C55" s="80">
        <f t="shared" si="7"/>
        <v>20.4025</v>
      </c>
      <c r="D55" s="81">
        <f t="shared" si="8"/>
        <v>9641.7575157820502</v>
      </c>
      <c r="E55" s="81">
        <f t="shared" si="9"/>
        <v>7718.1667200000011</v>
      </c>
      <c r="F55" s="81">
        <f>(VLOOKUP('Správa TOB'!$I$12 &amp; "_" &amp; Z22, KLIMA_DB!$A$3:$I$250, 6, FALSE))*$O$30 + (VLOOKUP('Správa TOB'!$I$12 &amp; "_" &amp; Z22, KLIMA_DB!$A$3:$I$250, 7, FALSE))*$O$31 + (((VLOOKUP('Správa TOB'!$I$12 &amp; "_" &amp; Z22, KLIMA_DB!$A$3:$I$250, 8, FALSE)+VLOOKUP('Správa TOB'!$I$12 &amp; "_" &amp; Z22, KLIMA_DB!$A$3:$I$250, 9, FALSE))/2))*$O$32 + (((VLOOKUP('Správa TOB'!$I$12 &amp; "_" &amp; Z22, KLIMA_DB!$A$3:$I$250, 6, FALSE)+VLOOKUP('Správa TOB'!$I$12 &amp; "_" &amp; Z22, KLIMA_DB!$A$3:$I$250, 8, FALSE))/2))*$O$33 + (((VLOOKUP('Správa TOB'!$I$12 &amp; "_" &amp; Z22, KLIMA_DB!$A$3:$I$250, 7, FALSE)+VLOOKUP('Správa TOB'!$I$12 &amp; "_" &amp; Z22, KLIMA_DB!$A$3:$I$250, 8, FALSE))/2))*$O$34 + (VLOOKUP('Správa TOB'!$I$12 &amp; "_" &amp; Z22, KLIMA_DB!$A$3:$I$250, 5, FALSE))*$O$35 + (VLOOKUP('Správa TOB'!$I$12 &amp; "_" &amp; Z22, KLIMA_DB!$A$3:$I$250, 5, FALSE))*'Správa TOB'!$I$108</f>
        <v>13274.210987099999</v>
      </c>
      <c r="G55" s="81">
        <f t="shared" si="10"/>
        <v>20992.3777071</v>
      </c>
      <c r="H55" s="82">
        <f t="shared" si="11"/>
        <v>2.1772355997066675</v>
      </c>
      <c r="I55" s="82">
        <f t="shared" si="12"/>
        <v>0.95636839785049399</v>
      </c>
      <c r="J55" s="81">
        <f t="shared" si="13"/>
        <v>11771.305519268562</v>
      </c>
      <c r="K55" s="79" t="str">
        <f t="shared" si="14"/>
        <v>ÁNO</v>
      </c>
    </row>
    <row r="56" spans="1:19" x14ac:dyDescent="0.2">
      <c r="A56" s="79" t="s">
        <v>377</v>
      </c>
      <c r="B56" s="79">
        <v>31</v>
      </c>
      <c r="C56" s="80">
        <f t="shared" si="7"/>
        <v>19.802499999999998</v>
      </c>
      <c r="D56" s="81">
        <f t="shared" si="8"/>
        <v>10675.264350881513</v>
      </c>
      <c r="E56" s="81">
        <f t="shared" si="9"/>
        <v>7718.1667200000011</v>
      </c>
      <c r="F56" s="81">
        <f>(VLOOKUP('Správa TOB'!$I$12 &amp; "_" &amp; Z23, KLIMA_DB!$A$3:$I$250, 6, FALSE))*$O$30 + (VLOOKUP('Správa TOB'!$I$12 &amp; "_" &amp; Z23, KLIMA_DB!$A$3:$I$250, 7, FALSE))*$O$31 + (((VLOOKUP('Správa TOB'!$I$12 &amp; "_" &amp; Z23, KLIMA_DB!$A$3:$I$250, 8, FALSE)+VLOOKUP('Správa TOB'!$I$12 &amp; "_" &amp; Z23, KLIMA_DB!$A$3:$I$250, 9, FALSE))/2))*$O$32 + (((VLOOKUP('Správa TOB'!$I$12 &amp; "_" &amp; Z23, KLIMA_DB!$A$3:$I$250, 6, FALSE)+VLOOKUP('Správa TOB'!$I$12 &amp; "_" &amp; Z23, KLIMA_DB!$A$3:$I$250, 8, FALSE))/2))*$O$33 + (((VLOOKUP('Správa TOB'!$I$12 &amp; "_" &amp; Z23, KLIMA_DB!$A$3:$I$250, 7, FALSE)+VLOOKUP('Správa TOB'!$I$12 &amp; "_" &amp; Z23, KLIMA_DB!$A$3:$I$250, 8, FALSE))/2))*$O$34 + (VLOOKUP('Správa TOB'!$I$12 &amp; "_" &amp; Z23, KLIMA_DB!$A$3:$I$250, 5, FALSE))*$O$35 + (VLOOKUP('Správa TOB'!$I$12 &amp; "_" &amp; Z23, KLIMA_DB!$A$3:$I$250, 5, FALSE))*'Správa TOB'!$I$108</f>
        <v>11560.013156999998</v>
      </c>
      <c r="G56" s="81">
        <f t="shared" si="10"/>
        <v>19278.179876999999</v>
      </c>
      <c r="H56" s="82">
        <f t="shared" si="11"/>
        <v>1.8058737698058127</v>
      </c>
      <c r="I56" s="82">
        <f t="shared" si="12"/>
        <v>0.93030735605412385</v>
      </c>
      <c r="J56" s="81">
        <f t="shared" si="13"/>
        <v>9346.9029235525759</v>
      </c>
      <c r="K56" s="79" t="str">
        <f t="shared" si="14"/>
        <v>ÁNO</v>
      </c>
    </row>
    <row r="57" spans="1:19" x14ac:dyDescent="0.2">
      <c r="A57" s="79" t="s">
        <v>378</v>
      </c>
      <c r="B57" s="79">
        <v>30</v>
      </c>
      <c r="C57" s="80">
        <f t="shared" si="7"/>
        <v>15.435499999999999</v>
      </c>
      <c r="D57" s="81">
        <f t="shared" si="8"/>
        <v>17610.456386142345</v>
      </c>
      <c r="E57" s="81">
        <f t="shared" si="9"/>
        <v>7469.1936000000005</v>
      </c>
      <c r="F57" s="81">
        <f>(VLOOKUP('Správa TOB'!$I$12 &amp; "_" &amp; Z24, KLIMA_DB!$A$3:$I$250, 6, FALSE))*$O$30 + (VLOOKUP('Správa TOB'!$I$12 &amp; "_" &amp; Z24, KLIMA_DB!$A$3:$I$250, 7, FALSE))*$O$31 + (((VLOOKUP('Správa TOB'!$I$12 &amp; "_" &amp; Z24, KLIMA_DB!$A$3:$I$250, 8, FALSE)+VLOOKUP('Správa TOB'!$I$12 &amp; "_" &amp; Z24, KLIMA_DB!$A$3:$I$250, 9, FALSE))/2))*$O$32 + (((VLOOKUP('Správa TOB'!$I$12 &amp; "_" &amp; Z24, KLIMA_DB!$A$3:$I$250, 6, FALSE)+VLOOKUP('Správa TOB'!$I$12 &amp; "_" &amp; Z24, KLIMA_DB!$A$3:$I$250, 8, FALSE))/2))*$O$33 + (((VLOOKUP('Správa TOB'!$I$12 &amp; "_" &amp; Z24, KLIMA_DB!$A$3:$I$250, 7, FALSE)+VLOOKUP('Správa TOB'!$I$12 &amp; "_" &amp; Z24, KLIMA_DB!$A$3:$I$250, 8, FALSE))/2))*$O$34 + (VLOOKUP('Správa TOB'!$I$12 &amp; "_" &amp; Z24, KLIMA_DB!$A$3:$I$250, 5, FALSE))*$O$35 + (VLOOKUP('Správa TOB'!$I$12 &amp; "_" &amp; Z24, KLIMA_DB!$A$3:$I$250, 5, FALSE))*'Správa TOB'!$I$108</f>
        <v>8420.7963503999999</v>
      </c>
      <c r="G57" s="81">
        <f t="shared" si="10"/>
        <v>15889.9899504</v>
      </c>
      <c r="H57" s="82">
        <f t="shared" si="11"/>
        <v>0.90230426753186377</v>
      </c>
      <c r="I57" s="82">
        <f t="shared" si="12"/>
        <v>0.72564062217049552</v>
      </c>
      <c r="J57" s="81">
        <f t="shared" si="13"/>
        <v>3111.1274216532929</v>
      </c>
      <c r="K57" s="79" t="str">
        <f t="shared" si="14"/>
        <v>ÁNO</v>
      </c>
    </row>
    <row r="58" spans="1:19" x14ac:dyDescent="0.2">
      <c r="A58" s="79" t="s">
        <v>379</v>
      </c>
      <c r="B58" s="79">
        <v>31</v>
      </c>
      <c r="C58" s="80">
        <f t="shared" si="7"/>
        <v>10.035</v>
      </c>
      <c r="D58" s="81">
        <f t="shared" si="8"/>
        <v>27499.894370604816</v>
      </c>
      <c r="E58" s="81">
        <f t="shared" si="9"/>
        <v>7718.1667200000011</v>
      </c>
      <c r="F58" s="81">
        <f>(VLOOKUP('Správa TOB'!$I$12 &amp; "_" &amp; Z25, KLIMA_DB!$A$3:$I$250, 6, FALSE))*$O$30 + (VLOOKUP('Správa TOB'!$I$12 &amp; "_" &amp; Z25, KLIMA_DB!$A$3:$I$250, 7, FALSE))*$O$31 + (((VLOOKUP('Správa TOB'!$I$12 &amp; "_" &amp; Z25, KLIMA_DB!$A$3:$I$250, 8, FALSE)+VLOOKUP('Správa TOB'!$I$12 &amp; "_" &amp; Z25, KLIMA_DB!$A$3:$I$250, 9, FALSE))/2))*$O$32 + (((VLOOKUP('Správa TOB'!$I$12 &amp; "_" &amp; Z25, KLIMA_DB!$A$3:$I$250, 6, FALSE)+VLOOKUP('Správa TOB'!$I$12 &amp; "_" &amp; Z25, KLIMA_DB!$A$3:$I$250, 8, FALSE))/2))*$O$33 + (((VLOOKUP('Správa TOB'!$I$12 &amp; "_" &amp; Z25, KLIMA_DB!$A$3:$I$250, 7, FALSE)+VLOOKUP('Správa TOB'!$I$12 &amp; "_" &amp; Z25, KLIMA_DB!$A$3:$I$250, 8, FALSE))/2))*$O$34 + (VLOOKUP('Správa TOB'!$I$12 &amp; "_" &amp; Z25, KLIMA_DB!$A$3:$I$250, 5, FALSE))*$O$35 + (VLOOKUP('Správa TOB'!$I$12 &amp; "_" &amp; Z25, KLIMA_DB!$A$3:$I$250, 5, FALSE))*'Správa TOB'!$I$108</f>
        <v>5143.5069869999988</v>
      </c>
      <c r="G58" s="81">
        <f t="shared" si="10"/>
        <v>12861.673707</v>
      </c>
      <c r="H58" s="82">
        <f t="shared" si="11"/>
        <v>0.46769902217326692</v>
      </c>
      <c r="I58" s="82">
        <f t="shared" si="12"/>
        <v>0.44631435959627846</v>
      </c>
      <c r="J58" s="81">
        <f t="shared" si="13"/>
        <v>0</v>
      </c>
      <c r="K58" s="79" t="str">
        <f t="shared" si="14"/>
        <v>nie</v>
      </c>
    </row>
    <row r="59" spans="1:19" x14ac:dyDescent="0.2">
      <c r="A59" s="79" t="s">
        <v>380</v>
      </c>
      <c r="B59" s="79">
        <v>30</v>
      </c>
      <c r="C59" s="80">
        <f t="shared" si="7"/>
        <v>4.5015000000000001</v>
      </c>
      <c r="D59" s="81">
        <f t="shared" si="8"/>
        <v>35836.849507073799</v>
      </c>
      <c r="E59" s="81">
        <f t="shared" si="9"/>
        <v>7469.1936000000005</v>
      </c>
      <c r="F59" s="81">
        <f>(VLOOKUP('Správa TOB'!$I$12 &amp; "_" &amp; Z26, KLIMA_DB!$A$3:$I$250, 6, FALSE))*$O$30 + (VLOOKUP('Správa TOB'!$I$12 &amp; "_" &amp; Z26, KLIMA_DB!$A$3:$I$250, 7, FALSE))*$O$31 + (((VLOOKUP('Správa TOB'!$I$12 &amp; "_" &amp; Z26, KLIMA_DB!$A$3:$I$250, 8, FALSE)+VLOOKUP('Správa TOB'!$I$12 &amp; "_" &amp; Z26, KLIMA_DB!$A$3:$I$250, 9, FALSE))/2))*$O$32 + (((VLOOKUP('Správa TOB'!$I$12 &amp; "_" &amp; Z26, KLIMA_DB!$A$3:$I$250, 6, FALSE)+VLOOKUP('Správa TOB'!$I$12 &amp; "_" &amp; Z26, KLIMA_DB!$A$3:$I$250, 8, FALSE))/2))*$O$33 + (((VLOOKUP('Správa TOB'!$I$12 &amp; "_" &amp; Z26, KLIMA_DB!$A$3:$I$250, 7, FALSE)+VLOOKUP('Správa TOB'!$I$12 &amp; "_" &amp; Z26, KLIMA_DB!$A$3:$I$250, 8, FALSE))/2))*$O$34 + (VLOOKUP('Správa TOB'!$I$12 &amp; "_" &amp; Z26, KLIMA_DB!$A$3:$I$250, 5, FALSE))*$O$35 + (VLOOKUP('Správa TOB'!$I$12 &amp; "_" &amp; Z26, KLIMA_DB!$A$3:$I$250, 5, FALSE))*'Správa TOB'!$I$108</f>
        <v>2607.0769235999996</v>
      </c>
      <c r="G59" s="81">
        <f t="shared" si="10"/>
        <v>10076.2705236</v>
      </c>
      <c r="H59" s="82">
        <f t="shared" si="11"/>
        <v>0.2811706570805298</v>
      </c>
      <c r="I59" s="82">
        <f t="shared" si="12"/>
        <v>0.2780150053081738</v>
      </c>
      <c r="J59" s="81">
        <f t="shared" si="13"/>
        <v>0</v>
      </c>
      <c r="K59" s="79" t="str">
        <f t="shared" si="14"/>
        <v>nie</v>
      </c>
    </row>
    <row r="60" spans="1:19" x14ac:dyDescent="0.2">
      <c r="A60" s="79" t="s">
        <v>381</v>
      </c>
      <c r="B60" s="79">
        <v>31</v>
      </c>
      <c r="C60" s="80">
        <f t="shared" si="7"/>
        <v>-9.8499999999999921E-2</v>
      </c>
      <c r="D60" s="81">
        <f t="shared" si="8"/>
        <v>44954.96355973879</v>
      </c>
      <c r="E60" s="81">
        <f t="shared" si="9"/>
        <v>7718.1667200000011</v>
      </c>
      <c r="F60" s="81">
        <f>(VLOOKUP('Správa TOB'!$I$12 &amp; "_" &amp; Z27, KLIMA_DB!$A$3:$I$250, 6, FALSE))*$O$30 + (VLOOKUP('Správa TOB'!$I$12 &amp; "_" &amp; Z27, KLIMA_DB!$A$3:$I$250, 7, FALSE))*$O$31 + (((VLOOKUP('Správa TOB'!$I$12 &amp; "_" &amp; Z27, KLIMA_DB!$A$3:$I$250, 8, FALSE)+VLOOKUP('Správa TOB'!$I$12 &amp; "_" &amp; Z27, KLIMA_DB!$A$3:$I$250, 9, FALSE))/2))*$O$32 + (((VLOOKUP('Správa TOB'!$I$12 &amp; "_" &amp; Z27, KLIMA_DB!$A$3:$I$250, 6, FALSE)+VLOOKUP('Správa TOB'!$I$12 &amp; "_" &amp; Z27, KLIMA_DB!$A$3:$I$250, 8, FALSE))/2))*$O$33 + (((VLOOKUP('Správa TOB'!$I$12 &amp; "_" &amp; Z27, KLIMA_DB!$A$3:$I$250, 7, FALSE)+VLOOKUP('Správa TOB'!$I$12 &amp; "_" &amp; Z27, KLIMA_DB!$A$3:$I$250, 8, FALSE))/2))*$O$34 + (VLOOKUP('Správa TOB'!$I$12 &amp; "_" &amp; Z27, KLIMA_DB!$A$3:$I$250, 5, FALSE))*$O$35 + (VLOOKUP('Správa TOB'!$I$12 &amp; "_" &amp; Z27, KLIMA_DB!$A$3:$I$250, 5, FALSE))*'Správa TOB'!$I$108</f>
        <v>2079.0256476</v>
      </c>
      <c r="G60" s="81">
        <f t="shared" si="10"/>
        <v>9797.1923676000006</v>
      </c>
      <c r="H60" s="82">
        <f t="shared" si="11"/>
        <v>0.21793349592155531</v>
      </c>
      <c r="I60" s="82">
        <f t="shared" si="12"/>
        <v>0.21678356749895258</v>
      </c>
      <c r="J60" s="81">
        <f t="shared" si="13"/>
        <v>0</v>
      </c>
      <c r="K60" s="79" t="str">
        <f t="shared" si="14"/>
        <v>nie</v>
      </c>
      <c r="S60" s="87" t="s">
        <v>404</v>
      </c>
    </row>
    <row r="61" spans="1:19" ht="15" x14ac:dyDescent="0.25">
      <c r="A61" s="88" t="s">
        <v>382</v>
      </c>
      <c r="B61" s="88"/>
      <c r="C61" s="88"/>
      <c r="D61" s="89">
        <f>SUM(D49:D60)</f>
        <v>324108.27135358512</v>
      </c>
      <c r="E61" s="89">
        <f>SUM(E49:E60)</f>
        <v>90875.188800000004</v>
      </c>
      <c r="F61" s="89">
        <f>SUM(F49:F60)</f>
        <v>92865.244541999986</v>
      </c>
      <c r="G61" s="89">
        <f>SUM(G49:G60)</f>
        <v>183740.433342</v>
      </c>
      <c r="H61" s="88"/>
      <c r="I61" s="90">
        <f>IF(SUMPRODUCT((C49:C60&gt;=13)*D49:D60)&gt;0, SUMPRODUCT((C49:C60&gt;=13)*I49:I60*D49:D60)/SUMPRODUCT((C49:C60&gt;=13)*D49:D60), 0)</f>
        <v>0.84955244102422756</v>
      </c>
      <c r="J61" s="89">
        <f>SUM(J49:J60)</f>
        <v>39921.332629646131</v>
      </c>
      <c r="K61" s="88"/>
      <c r="O61">
        <f>SUMPRODUCT((C49:C60&gt;=13)*B49:B60)</f>
        <v>153</v>
      </c>
      <c r="P61">
        <f>IFERROR(SUMPRODUCT((C49:C60&gt;=13)*C49:C60*B49:B60)/O61, 0)</f>
        <v>18.01460130718954</v>
      </c>
      <c r="S61">
        <f>SUMPRODUCT((C49:C60&gt;=13)*F49:F60)</f>
        <v>59502.254453399997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4"/>
  <sheetViews>
    <sheetView topLeftCell="A5" zoomScale="85" zoomScaleNormal="85" workbookViewId="0">
      <selection activeCell="E37" sqref="E37"/>
    </sheetView>
  </sheetViews>
  <sheetFormatPr defaultRowHeight="12.75" x14ac:dyDescent="0.2"/>
  <cols>
    <col min="1" max="1" width="46" customWidth="1"/>
    <col min="2" max="2" width="22" customWidth="1"/>
    <col min="3" max="3" width="12" customWidth="1"/>
    <col min="4" max="4" width="54" customWidth="1"/>
    <col min="5" max="5" width="22" customWidth="1"/>
  </cols>
  <sheetData>
    <row r="1" spans="1:4" ht="19.5" x14ac:dyDescent="0.3">
      <c r="A1" s="91" t="s">
        <v>405</v>
      </c>
    </row>
    <row r="2" spans="1:4" ht="15" x14ac:dyDescent="0.25">
      <c r="A2" s="75" t="s">
        <v>406</v>
      </c>
    </row>
    <row r="4" spans="1:4" ht="15" x14ac:dyDescent="0.2">
      <c r="A4" s="78" t="s">
        <v>407</v>
      </c>
      <c r="B4" s="78" t="s">
        <v>408</v>
      </c>
      <c r="C4" s="78" t="s">
        <v>409</v>
      </c>
      <c r="D4" s="78" t="s">
        <v>410</v>
      </c>
    </row>
    <row r="5" spans="1:4" ht="15" x14ac:dyDescent="0.25">
      <c r="A5" s="92" t="s">
        <v>411</v>
      </c>
      <c r="B5" s="93" t="str">
        <f>'Správa TOB'!I12</f>
        <v>Bratislava-letisko</v>
      </c>
      <c r="C5" s="79" t="s">
        <v>412</v>
      </c>
      <c r="D5" s="94" t="s">
        <v>413</v>
      </c>
    </row>
    <row r="6" spans="1:4" ht="15" x14ac:dyDescent="0.25">
      <c r="A6" s="92" t="s">
        <v>414</v>
      </c>
      <c r="B6" s="95">
        <f>'Správa TOB'!I24</f>
        <v>1728.98</v>
      </c>
      <c r="C6" s="79" t="s">
        <v>31</v>
      </c>
      <c r="D6" s="94" t="s">
        <v>415</v>
      </c>
    </row>
    <row r="7" spans="1:4" ht="15" x14ac:dyDescent="0.25">
      <c r="A7" s="92" t="s">
        <v>416</v>
      </c>
      <c r="B7" s="95">
        <f>'Správa TOB'!I23</f>
        <v>5273.3890000000001</v>
      </c>
      <c r="C7" s="79" t="s">
        <v>29</v>
      </c>
      <c r="D7" s="94" t="s">
        <v>417</v>
      </c>
    </row>
    <row r="8" spans="1:4" ht="15" x14ac:dyDescent="0.25">
      <c r="A8" s="92" t="s">
        <v>418</v>
      </c>
      <c r="B8" s="96">
        <f>'Správa TOB'!I27</f>
        <v>0.56072100882373732</v>
      </c>
      <c r="C8" s="79" t="s">
        <v>35</v>
      </c>
      <c r="D8" s="94" t="s">
        <v>419</v>
      </c>
    </row>
    <row r="9" spans="1:4" ht="15" x14ac:dyDescent="0.25">
      <c r="A9" s="92" t="s">
        <v>420</v>
      </c>
      <c r="B9" s="95">
        <f>'Správa TOB'!I112</f>
        <v>2315.2034836457451</v>
      </c>
      <c r="C9" s="79" t="s">
        <v>61</v>
      </c>
      <c r="D9" s="94" t="s">
        <v>421</v>
      </c>
    </row>
    <row r="10" spans="1:4" ht="15" x14ac:dyDescent="0.25">
      <c r="A10" s="92" t="s">
        <v>422</v>
      </c>
      <c r="B10" s="95">
        <f>'Správa TOB'!I29</f>
        <v>3173.5994999999998</v>
      </c>
      <c r="C10" s="79" t="s">
        <v>423</v>
      </c>
      <c r="D10" s="94" t="s">
        <v>424</v>
      </c>
    </row>
    <row r="11" spans="1:4" ht="15" x14ac:dyDescent="0.25">
      <c r="A11" s="92" t="s">
        <v>425</v>
      </c>
      <c r="B11" s="95">
        <f>Výpočet_mesacny!J28</f>
        <v>95008.092469695082</v>
      </c>
      <c r="C11" s="79" t="s">
        <v>87</v>
      </c>
      <c r="D11" s="94" t="s">
        <v>426</v>
      </c>
    </row>
    <row r="12" spans="1:4" ht="15" x14ac:dyDescent="0.25">
      <c r="A12" s="92" t="s">
        <v>427</v>
      </c>
      <c r="B12" s="96">
        <f>'Správa TOB'!I114</f>
        <v>54.950371010477326</v>
      </c>
      <c r="C12" s="79" t="s">
        <v>428</v>
      </c>
      <c r="D12" s="94" t="s">
        <v>429</v>
      </c>
    </row>
    <row r="13" spans="1:4" ht="15" x14ac:dyDescent="0.25">
      <c r="A13" s="92" t="s">
        <v>430</v>
      </c>
      <c r="B13" s="95">
        <f>Výpočet_mesacny!J61</f>
        <v>39921.332629646131</v>
      </c>
      <c r="C13" s="79" t="s">
        <v>87</v>
      </c>
      <c r="D13" s="94" t="s">
        <v>431</v>
      </c>
    </row>
    <row r="14" spans="1:4" ht="15" x14ac:dyDescent="0.25">
      <c r="A14" s="92" t="s">
        <v>432</v>
      </c>
      <c r="B14" s="96">
        <f>'Správa TOB'!I115</f>
        <v>90.865789168775933</v>
      </c>
      <c r="C14" s="79" t="s">
        <v>428</v>
      </c>
      <c r="D14" s="94" t="s">
        <v>433</v>
      </c>
    </row>
    <row r="17" spans="1:4" ht="15.75" x14ac:dyDescent="0.25">
      <c r="A17" s="97" t="s">
        <v>434</v>
      </c>
    </row>
    <row r="18" spans="1:4" ht="15" x14ac:dyDescent="0.2">
      <c r="A18" s="98" t="s">
        <v>435</v>
      </c>
      <c r="B18" s="98" t="s">
        <v>436</v>
      </c>
      <c r="C18" s="98" t="s">
        <v>437</v>
      </c>
      <c r="D18" s="98" t="s">
        <v>438</v>
      </c>
    </row>
    <row r="19" spans="1:4" ht="15" x14ac:dyDescent="0.25">
      <c r="A19" s="92" t="s">
        <v>439</v>
      </c>
      <c r="B19" s="80">
        <f>IFERROR(VLOOKUP('Správa TOB'!$I$12,KLIMA_DB!$P$3:$R$15,3,FALSE),-11)</f>
        <v>-11</v>
      </c>
      <c r="C19" s="79" t="s">
        <v>121</v>
      </c>
      <c r="D19" s="99" t="s">
        <v>440</v>
      </c>
    </row>
    <row r="20" spans="1:4" ht="15" x14ac:dyDescent="0.25">
      <c r="A20" s="92" t="s">
        <v>441</v>
      </c>
      <c r="B20" s="80">
        <f>'Správa TOB'!$I$92</f>
        <v>20</v>
      </c>
      <c r="C20" s="79" t="s">
        <v>121</v>
      </c>
      <c r="D20" s="99" t="s">
        <v>442</v>
      </c>
    </row>
    <row r="21" spans="1:4" ht="15" x14ac:dyDescent="0.25">
      <c r="A21" s="92" t="s">
        <v>443</v>
      </c>
      <c r="B21" s="80">
        <f>B20-B19</f>
        <v>31</v>
      </c>
      <c r="C21" s="79" t="s">
        <v>444</v>
      </c>
      <c r="D21" s="99" t="s">
        <v>445</v>
      </c>
    </row>
    <row r="22" spans="1:4" x14ac:dyDescent="0.2">
      <c r="A22" s="99" t="s">
        <v>446</v>
      </c>
      <c r="B22" s="81">
        <f>'Správa TOB'!$I$85</f>
        <v>1598.0225796457451</v>
      </c>
      <c r="C22" s="79" t="s">
        <v>61</v>
      </c>
      <c r="D22" s="99" t="s">
        <v>447</v>
      </c>
    </row>
    <row r="23" spans="1:4" x14ac:dyDescent="0.2">
      <c r="A23" s="99" t="s">
        <v>448</v>
      </c>
      <c r="B23" s="81">
        <f>'Správa TOB'!$I$86</f>
        <v>717.18090400000006</v>
      </c>
      <c r="C23" s="79" t="s">
        <v>61</v>
      </c>
      <c r="D23" s="99" t="s">
        <v>449</v>
      </c>
    </row>
    <row r="24" spans="1:4" x14ac:dyDescent="0.2">
      <c r="A24" s="99" t="s">
        <v>450</v>
      </c>
      <c r="B24" s="81">
        <f>'Správa TOB'!$I$112</f>
        <v>2315.2034836457451</v>
      </c>
      <c r="C24" s="79" t="s">
        <v>61</v>
      </c>
      <c r="D24" s="99" t="s">
        <v>451</v>
      </c>
    </row>
    <row r="25" spans="1:4" x14ac:dyDescent="0.2">
      <c r="A25" s="99" t="s">
        <v>452</v>
      </c>
      <c r="B25" s="100">
        <f>B22*B21/1000</f>
        <v>49.538699969018097</v>
      </c>
      <c r="C25" s="79" t="s">
        <v>453</v>
      </c>
      <c r="D25" s="99" t="s">
        <v>454</v>
      </c>
    </row>
    <row r="26" spans="1:4" x14ac:dyDescent="0.2">
      <c r="A26" s="99" t="s">
        <v>455</v>
      </c>
      <c r="B26" s="100">
        <f>B23*B21/1000</f>
        <v>22.232608024000001</v>
      </c>
      <c r="C26" s="79" t="s">
        <v>453</v>
      </c>
      <c r="D26" s="99" t="s">
        <v>456</v>
      </c>
    </row>
    <row r="27" spans="1:4" ht="15.75" x14ac:dyDescent="0.25">
      <c r="A27" s="101" t="s">
        <v>457</v>
      </c>
      <c r="B27" s="102">
        <f>B24*B21/1000</f>
        <v>71.771307993018098</v>
      </c>
      <c r="C27" s="103" t="s">
        <v>453</v>
      </c>
      <c r="D27" s="104" t="s">
        <v>458</v>
      </c>
    </row>
    <row r="28" spans="1:4" ht="15" x14ac:dyDescent="0.25">
      <c r="A28" s="92" t="s">
        <v>459</v>
      </c>
      <c r="B28" s="80">
        <f>IF(B6&gt;0, B27*1000/B6, 0)</f>
        <v>41.510779762066711</v>
      </c>
      <c r="C28" s="79" t="s">
        <v>85</v>
      </c>
      <c r="D28" s="99" t="s">
        <v>460</v>
      </c>
    </row>
    <row r="29" spans="1:4" ht="15" x14ac:dyDescent="0.25">
      <c r="A29" s="94" t="s">
        <v>461</v>
      </c>
      <c r="B29" s="105">
        <f>IF(B27&gt;0, B11/B27, 0)</f>
        <v>1323.7614741386274</v>
      </c>
      <c r="C29" s="79" t="s">
        <v>462</v>
      </c>
      <c r="D29" s="99" t="s">
        <v>463</v>
      </c>
    </row>
    <row r="32" spans="1:4" ht="15.75" x14ac:dyDescent="0.25">
      <c r="A32" s="106" t="s">
        <v>464</v>
      </c>
    </row>
    <row r="33" spans="1:5" ht="15" x14ac:dyDescent="0.2">
      <c r="A33" s="107" t="s">
        <v>435</v>
      </c>
      <c r="B33" s="107" t="s">
        <v>436</v>
      </c>
      <c r="C33" s="107" t="s">
        <v>437</v>
      </c>
      <c r="D33" s="107" t="s">
        <v>438</v>
      </c>
    </row>
    <row r="34" spans="1:5" ht="15" x14ac:dyDescent="0.25">
      <c r="A34" s="92" t="s">
        <v>465</v>
      </c>
      <c r="B34" s="80">
        <f>'Správa TOB'!$I$105</f>
        <v>33</v>
      </c>
      <c r="C34" s="79" t="s">
        <v>121</v>
      </c>
      <c r="D34" s="99" t="s">
        <v>466</v>
      </c>
    </row>
    <row r="35" spans="1:5" ht="15" x14ac:dyDescent="0.25">
      <c r="A35" s="92" t="s">
        <v>467</v>
      </c>
      <c r="B35" s="80">
        <f>'Správa TOB'!$I$106</f>
        <v>26</v>
      </c>
      <c r="C35" s="79" t="s">
        <v>121</v>
      </c>
      <c r="D35" s="99" t="s">
        <v>468</v>
      </c>
    </row>
    <row r="36" spans="1:5" ht="15" x14ac:dyDescent="0.25">
      <c r="A36" s="92" t="s">
        <v>469</v>
      </c>
      <c r="B36" s="80">
        <f>MAX(0, B34-B35)</f>
        <v>7</v>
      </c>
      <c r="C36" s="79" t="s">
        <v>444</v>
      </c>
      <c r="D36" s="99" t="s">
        <v>470</v>
      </c>
    </row>
    <row r="37" spans="1:5" x14ac:dyDescent="0.2">
      <c r="A37" s="99" t="s">
        <v>471</v>
      </c>
      <c r="B37" s="100">
        <f>B24*B36/1000</f>
        <v>16.206424385520215</v>
      </c>
      <c r="C37" s="79" t="s">
        <v>453</v>
      </c>
      <c r="D37" s="99" t="s">
        <v>472</v>
      </c>
    </row>
    <row r="38" spans="1:5" x14ac:dyDescent="0.2">
      <c r="A38" s="99" t="s">
        <v>473</v>
      </c>
      <c r="B38" s="100">
        <f>(SUMPRODUCT('Správa TOB'!$J$75:$J$80)*2 + 'Správa TOB'!$I$108)*0.65</f>
        <v>98.948461559999998</v>
      </c>
      <c r="C38" s="79" t="s">
        <v>453</v>
      </c>
      <c r="D38" s="99" t="s">
        <v>474</v>
      </c>
    </row>
    <row r="39" spans="1:5" x14ac:dyDescent="0.2">
      <c r="A39" s="99" t="s">
        <v>475</v>
      </c>
      <c r="B39" s="100">
        <f>'Správa TOB'!$I$68*B6/1000</f>
        <v>10.373880000000002</v>
      </c>
      <c r="C39" s="79" t="s">
        <v>453</v>
      </c>
      <c r="D39" s="99" t="s">
        <v>476</v>
      </c>
    </row>
    <row r="40" spans="1:5" ht="15.75" x14ac:dyDescent="0.25">
      <c r="A40" s="108" t="s">
        <v>477</v>
      </c>
      <c r="B40" s="109">
        <f>B37+B38+B39</f>
        <v>125.52876594552022</v>
      </c>
      <c r="C40" s="110" t="s">
        <v>453</v>
      </c>
      <c r="D40" s="111" t="s">
        <v>478</v>
      </c>
    </row>
    <row r="41" spans="1:5" ht="15" x14ac:dyDescent="0.25">
      <c r="A41" s="92" t="s">
        <v>479</v>
      </c>
      <c r="B41" s="80">
        <f>IF(B6&gt;0, B40*1000/B6, 0)</f>
        <v>72.602786582563255</v>
      </c>
      <c r="C41" s="79" t="s">
        <v>85</v>
      </c>
      <c r="D41" s="99" t="s">
        <v>480</v>
      </c>
    </row>
    <row r="42" spans="1:5" ht="15" x14ac:dyDescent="0.25">
      <c r="A42" s="94" t="s">
        <v>481</v>
      </c>
      <c r="B42" s="105">
        <f>IF(B40&gt;0, B13/B40, 0)</f>
        <v>318.02537314014609</v>
      </c>
      <c r="C42" s="79" t="s">
        <v>462</v>
      </c>
      <c r="D42" s="99" t="s">
        <v>482</v>
      </c>
    </row>
    <row r="45" spans="1:5" ht="15" x14ac:dyDescent="0.25">
      <c r="A45" s="76" t="s">
        <v>483</v>
      </c>
    </row>
    <row r="46" spans="1:5" ht="15" x14ac:dyDescent="0.2">
      <c r="A46" s="78" t="s">
        <v>164</v>
      </c>
      <c r="B46" s="78" t="s">
        <v>484</v>
      </c>
      <c r="C46" s="78" t="s">
        <v>485</v>
      </c>
      <c r="D46" s="78" t="s">
        <v>486</v>
      </c>
      <c r="E46" s="78" t="s">
        <v>487</v>
      </c>
    </row>
    <row r="47" spans="1:5" x14ac:dyDescent="0.2">
      <c r="A47" s="79" t="s">
        <v>370</v>
      </c>
      <c r="B47" s="81">
        <f>Výpočet_mesacny!D16</f>
        <v>34505.348201187328</v>
      </c>
      <c r="C47" s="81">
        <f>Výpočet_mesacny!G16</f>
        <v>9812.4208776000014</v>
      </c>
      <c r="D47" s="81">
        <f>Výpočet_mesacny!J16</f>
        <v>24806.741507157934</v>
      </c>
      <c r="E47" s="81">
        <f>Výpočet_mesacny!J49</f>
        <v>0</v>
      </c>
    </row>
    <row r="48" spans="1:5" x14ac:dyDescent="0.2">
      <c r="A48" s="79" t="s">
        <v>371</v>
      </c>
      <c r="B48" s="81">
        <f>Výpočet_mesacny!D17</f>
        <v>27639.084404041594</v>
      </c>
      <c r="C48" s="81">
        <f>Výpočet_mesacny!G17</f>
        <v>10442.099085</v>
      </c>
      <c r="D48" s="81">
        <f>Výpočet_mesacny!J17</f>
        <v>17467.461912885283</v>
      </c>
      <c r="E48" s="81">
        <f>Výpočet_mesacny!J50</f>
        <v>0</v>
      </c>
    </row>
    <row r="49" spans="1:5" x14ac:dyDescent="0.2">
      <c r="A49" s="79" t="s">
        <v>372</v>
      </c>
      <c r="B49" s="81">
        <f>Výpočet_mesacny!D18</f>
        <v>22389.203071037977</v>
      </c>
      <c r="C49" s="81">
        <f>Výpočet_mesacny!G18</f>
        <v>13456.8978984</v>
      </c>
      <c r="D49" s="81">
        <f>Výpočet_mesacny!J18</f>
        <v>10070.913559579634</v>
      </c>
      <c r="E49" s="81">
        <f>Výpočet_mesacny!J51</f>
        <v>0</v>
      </c>
    </row>
    <row r="50" spans="1:5" x14ac:dyDescent="0.2">
      <c r="A50" s="79" t="s">
        <v>373</v>
      </c>
      <c r="B50" s="81">
        <f>Výpočet_mesacny!D19</f>
        <v>12720.46880426449</v>
      </c>
      <c r="C50" s="81">
        <f>Výpočet_mesacny!G19</f>
        <v>16220.6660022</v>
      </c>
      <c r="D50" s="81">
        <f>Výpočet_mesacny!J19</f>
        <v>1911.0993277083016</v>
      </c>
      <c r="E50" s="81">
        <f>Výpočet_mesacny!J52</f>
        <v>0</v>
      </c>
    </row>
    <row r="51" spans="1:5" x14ac:dyDescent="0.2">
      <c r="A51" s="79" t="s">
        <v>374</v>
      </c>
      <c r="B51" s="81">
        <f>Výpočet_mesacny!D20</f>
        <v>4704.178611094374</v>
      </c>
      <c r="C51" s="81">
        <f>Výpočet_mesacny!G20</f>
        <v>18472.719513600001</v>
      </c>
      <c r="D51" s="81">
        <f>Výpočet_mesacny!J20</f>
        <v>39.491109989146025</v>
      </c>
      <c r="E51" s="81">
        <f>Výpočet_mesacny!J53</f>
        <v>5882.6174873223081</v>
      </c>
    </row>
    <row r="52" spans="1:5" x14ac:dyDescent="0.2">
      <c r="A52" s="79" t="s">
        <v>375</v>
      </c>
      <c r="B52" s="81">
        <f>Výpočet_mesacny!D21</f>
        <v>0</v>
      </c>
      <c r="C52" s="81">
        <f>Výpočet_mesacny!G21</f>
        <v>0</v>
      </c>
      <c r="D52" s="81">
        <f>Výpočet_mesacny!J21</f>
        <v>0</v>
      </c>
      <c r="E52" s="81">
        <f>Výpočet_mesacny!J54</f>
        <v>9809.3792778493971</v>
      </c>
    </row>
    <row r="53" spans="1:5" x14ac:dyDescent="0.2">
      <c r="A53" s="79" t="s">
        <v>376</v>
      </c>
      <c r="B53" s="81">
        <f>Výpočet_mesacny!D22</f>
        <v>0</v>
      </c>
      <c r="C53" s="81">
        <f>Výpočet_mesacny!G22</f>
        <v>0</v>
      </c>
      <c r="D53" s="81">
        <f>Výpočet_mesacny!J22</f>
        <v>0</v>
      </c>
      <c r="E53" s="81">
        <f>Výpočet_mesacny!J55</f>
        <v>11771.305519268562</v>
      </c>
    </row>
    <row r="54" spans="1:5" x14ac:dyDescent="0.2">
      <c r="A54" s="79" t="s">
        <v>377</v>
      </c>
      <c r="B54" s="81">
        <f>Výpočet_mesacny!D23</f>
        <v>0</v>
      </c>
      <c r="C54" s="81">
        <f>Výpočet_mesacny!G23</f>
        <v>0</v>
      </c>
      <c r="D54" s="81">
        <f>Výpočet_mesacny!J23</f>
        <v>0</v>
      </c>
      <c r="E54" s="81">
        <f>Výpočet_mesacny!J56</f>
        <v>9346.9029235525759</v>
      </c>
    </row>
    <row r="55" spans="1:5" x14ac:dyDescent="0.2">
      <c r="A55" s="79" t="s">
        <v>378</v>
      </c>
      <c r="B55" s="81">
        <f>Výpočet_mesacny!D24</f>
        <v>4941.6629236328226</v>
      </c>
      <c r="C55" s="81">
        <f>Výpočet_mesacny!G24</f>
        <v>14604.366321599999</v>
      </c>
      <c r="D55" s="81">
        <f>Výpočet_mesacny!J24</f>
        <v>94.237625886775277</v>
      </c>
      <c r="E55" s="81">
        <f>Výpočet_mesacny!J57</f>
        <v>3111.1274216532929</v>
      </c>
    </row>
    <row r="56" spans="1:5" x14ac:dyDescent="0.2">
      <c r="A56" s="79" t="s">
        <v>379</v>
      </c>
      <c r="B56" s="81">
        <f>Výpočet_mesacny!D25</f>
        <v>14408.807792678312</v>
      </c>
      <c r="C56" s="81">
        <f>Výpočet_mesacny!G25</f>
        <v>12092.595286200001</v>
      </c>
      <c r="D56" s="81">
        <f>Výpočet_mesacny!J25</f>
        <v>4388.3122415396665</v>
      </c>
      <c r="E56" s="81">
        <f>Výpočet_mesacny!J58</f>
        <v>0</v>
      </c>
    </row>
    <row r="57" spans="1:5" x14ac:dyDescent="0.2">
      <c r="A57" s="79" t="s">
        <v>380</v>
      </c>
      <c r="B57" s="81">
        <f>Výpočet_mesacny!D26</f>
        <v>23168.056044564277</v>
      </c>
      <c r="C57" s="81">
        <f>Výpočet_mesacny!G26</f>
        <v>9720.4282691999997</v>
      </c>
      <c r="D57" s="81">
        <f>Výpočet_mesacny!J26</f>
        <v>13781.954670329698</v>
      </c>
      <c r="E57" s="81">
        <f>Výpočet_mesacny!J59</f>
        <v>0</v>
      </c>
    </row>
    <row r="58" spans="1:5" x14ac:dyDescent="0.2">
      <c r="A58" s="79" t="s">
        <v>381</v>
      </c>
      <c r="B58" s="81">
        <f>Výpočet_mesacny!D27</f>
        <v>31863.876981812282</v>
      </c>
      <c r="C58" s="81">
        <f>Výpočet_mesacny!G27</f>
        <v>9544.6591548000015</v>
      </c>
      <c r="D58" s="81">
        <f>Výpočet_mesacny!J27</f>
        <v>22447.880514618657</v>
      </c>
      <c r="E58" s="81">
        <f>Výpočet_mesacny!J60</f>
        <v>0</v>
      </c>
    </row>
    <row r="61" spans="1:5" ht="15" x14ac:dyDescent="0.25">
      <c r="A61" s="76" t="s">
        <v>488</v>
      </c>
    </row>
    <row r="62" spans="1:5" ht="15" x14ac:dyDescent="0.25">
      <c r="A62" s="112" t="s">
        <v>489</v>
      </c>
      <c r="B62" s="112" t="s">
        <v>490</v>
      </c>
    </row>
    <row r="63" spans="1:5" x14ac:dyDescent="0.2">
      <c r="A63" s="99" t="s">
        <v>491</v>
      </c>
      <c r="B63" s="81">
        <f>SUMPRODUCT('Správa TOB'!G34:G36,'Správa TOB'!I34:I36,'Správa TOB'!J34:J36)</f>
        <v>390.68259999999998</v>
      </c>
    </row>
    <row r="64" spans="1:5" x14ac:dyDescent="0.2">
      <c r="A64" s="99" t="s">
        <v>492</v>
      </c>
      <c r="B64" s="81">
        <f>SUMPRODUCT('Správa TOB'!G38:G40,'Správa TOB'!I38:I40,'Správa TOB'!J38:J40)</f>
        <v>87.600000000000009</v>
      </c>
    </row>
    <row r="65" spans="1:2" x14ac:dyDescent="0.2">
      <c r="A65" s="99" t="s">
        <v>493</v>
      </c>
      <c r="B65" s="81">
        <f>SUMPRODUCT('Správa TOB'!G42:G44,'Správa TOB'!I42:I44,'Správa TOB'!J42:J44)</f>
        <v>397.53597964574487</v>
      </c>
    </row>
    <row r="66" spans="1:2" x14ac:dyDescent="0.2">
      <c r="A66" s="99" t="s">
        <v>57</v>
      </c>
      <c r="B66" s="81">
        <f>SUMPRODUCT('Správa TOB'!G47:G49,'Správa TOB'!I47:I49,'Správa TOB'!J47:J49)</f>
        <v>426.51400000000007</v>
      </c>
    </row>
    <row r="67" spans="1:2" x14ac:dyDescent="0.2">
      <c r="A67" s="99" t="s">
        <v>494</v>
      </c>
      <c r="B67" s="81">
        <f>'Správa TOB'!I51+'Správa TOB'!I53</f>
        <v>295.69</v>
      </c>
    </row>
    <row r="68" spans="1:2" x14ac:dyDescent="0.2">
      <c r="A68" s="99" t="s">
        <v>495</v>
      </c>
      <c r="B68" s="81">
        <f>'Správa TOB'!I86</f>
        <v>717.18090400000006</v>
      </c>
    </row>
    <row r="71" spans="1:2" ht="15" x14ac:dyDescent="0.25">
      <c r="A71" s="76" t="s">
        <v>496</v>
      </c>
    </row>
    <row r="72" spans="1:2" ht="15" x14ac:dyDescent="0.25">
      <c r="A72" s="113" t="s">
        <v>497</v>
      </c>
      <c r="B72" s="113" t="s">
        <v>498</v>
      </c>
    </row>
    <row r="73" spans="1:2" x14ac:dyDescent="0.2">
      <c r="A73" s="99" t="s">
        <v>499</v>
      </c>
      <c r="B73" s="100">
        <f>B27</f>
        <v>71.771307993018098</v>
      </c>
    </row>
    <row r="74" spans="1:2" x14ac:dyDescent="0.2">
      <c r="A74" s="99" t="s">
        <v>500</v>
      </c>
      <c r="B74" s="100">
        <f>B40</f>
        <v>125.52876594552022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Správa TOB</vt:lpstr>
      <vt:lpstr>KLIMA_DB</vt:lpstr>
      <vt:lpstr>Výpočet_mesacny</vt:lpstr>
      <vt:lpstr>Vizualizácia výsledkov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Viktor Labovský</cp:lastModifiedBy>
  <cp:lastPrinted>2020-03-09T20:16:42Z</cp:lastPrinted>
  <dcterms:created xsi:type="dcterms:W3CDTF">2007-04-13T10:39:17Z</dcterms:created>
  <dcterms:modified xsi:type="dcterms:W3CDTF">2026-08-30T10:37:15Z</dcterms:modified>
</cp:coreProperties>
</file>