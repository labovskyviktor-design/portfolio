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42191\Documents\PODNIKANIE\PROJEKTY\2026\26_03_RD_L\26_03_RD_L_UK\20260317_RD_VALUL_UK\"/>
    </mc:Choice>
  </mc:AlternateContent>
  <xr:revisionPtr revIDLastSave="0" documentId="13_ncr:1_{6EA9C42A-4A1E-427C-BDCF-2ECF309243DF}" xr6:coauthVersionLast="47" xr6:coauthVersionMax="47" xr10:uidLastSave="{00000000-0000-0000-0000-000000000000}"/>
  <bookViews>
    <workbookView xWindow="-28920" yWindow="-30" windowWidth="29040" windowHeight="15720" xr2:uid="{6169F262-C29B-4F0D-9977-C7A0BF40688D}"/>
  </bookViews>
  <sheets>
    <sheet name="Sumár" sheetId="4" r:id="rId1"/>
    <sheet name="TČ" sheetId="3" r:id="rId2"/>
    <sheet name="Napojenie" sheetId="2" r:id="rId3"/>
    <sheet name="Podlahové vykurovanie" sheetId="1" r:id="rId4"/>
  </sheets>
  <definedNames>
    <definedName name="_xlnm.Print_Area" localSheetId="0">Sumár!$A$1:$I$55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4" l="1"/>
  <c r="G24" i="4"/>
  <c r="G16" i="4"/>
  <c r="G15" i="4"/>
  <c r="G14" i="4"/>
  <c r="G13" i="4"/>
  <c r="G12" i="4"/>
  <c r="G11" i="4"/>
  <c r="G10" i="4"/>
  <c r="G9" i="4"/>
  <c r="G8" i="4"/>
  <c r="G7" i="4"/>
  <c r="G6" i="4"/>
  <c r="G13" i="3"/>
  <c r="G3" i="3"/>
  <c r="G4" i="3"/>
  <c r="G5" i="3"/>
  <c r="G6" i="3"/>
  <c r="G7" i="3"/>
  <c r="G8" i="3"/>
  <c r="G9" i="3"/>
  <c r="G10" i="3"/>
  <c r="G11" i="3"/>
  <c r="G12" i="3"/>
  <c r="G2" i="3"/>
  <c r="G17" i="4" l="1"/>
  <c r="G50" i="4" s="1"/>
  <c r="G20" i="1"/>
  <c r="G6" i="2"/>
</calcChain>
</file>

<file path=xl/sharedStrings.xml><?xml version="1.0" encoding="utf-8"?>
<sst xmlns="http://schemas.openxmlformats.org/spreadsheetml/2006/main" count="184" uniqueCount="62">
  <si>
    <t>č.</t>
  </si>
  <si>
    <t>Artikel</t>
  </si>
  <si>
    <t>Názov</t>
  </si>
  <si>
    <t>Množstvo</t>
  </si>
  <si>
    <t>Jednotka</t>
  </si>
  <si>
    <t>Jednotková
cena
(bez DPH)</t>
  </si>
  <si>
    <t>Celková
cena
(bez DPH)</t>
  </si>
  <si>
    <t>11361401500, 11361401240, 11361401120</t>
  </si>
  <si>
    <t>Rúrka RAUTHERM S 17x2,0 ( 120 m, 240 m, 500 m )</t>
  </si>
  <si>
    <t>m</t>
  </si>
  <si>
    <t>Systémová doska VARIONOVA bez kročajovej izolácie ( 17,92 m^2 )</t>
  </si>
  <si>
    <t>m^2</t>
  </si>
  <si>
    <t>Rozdeľovač HKVD SX-AG 11</t>
  </si>
  <si>
    <t>ks</t>
  </si>
  <si>
    <t>Ochranná rúrka pre rúrku 16x2,0/17x2,0 ( 50 m )</t>
  </si>
  <si>
    <t>Pripojovací skrutkový spoj 17 x 2,0</t>
  </si>
  <si>
    <t>Dilatačný profil 1,2 m ( 24 m )</t>
  </si>
  <si>
    <t>NEA SMART 2.0 HBW, priestorový regulátor so snímačom teploty a vlhkosti káblový, biely</t>
  </si>
  <si>
    <t>NEA SMART 2.0 transformátor 24 V</t>
  </si>
  <si>
    <t>NEA SMART 2.0 Základňa 24 V</t>
  </si>
  <si>
    <t>Okrajový izolačný pás 8/150mm ( 25 m )</t>
  </si>
  <si>
    <t>Plastifikátor P ( 10 kg )</t>
  </si>
  <si>
    <t>kg</t>
  </si>
  <si>
    <t>Servopohon UNI  (24 V)</t>
  </si>
  <si>
    <t>Spojovací pás Varionova 0,04 ks na m2 dosky</t>
  </si>
  <si>
    <t xml:space="preserve">Upevňovací mostík </t>
  </si>
  <si>
    <t>Cena použitých výrobkov</t>
  </si>
  <si>
    <t>Celková cena</t>
  </si>
  <si>
    <t>Poznámka:</t>
  </si>
  <si>
    <t>Vodiaci oblúk 90°, 16/17</t>
  </si>
  <si>
    <t>Vodiaci oblúk na vedenie rúrok Rautherm S a Rautherm Speed 16/17mm</t>
  </si>
  <si>
    <t>Skrinka rozdeľovača AP 11 okr.</t>
  </si>
  <si>
    <t>Univerzálna rúrka RAUTITAN stabil, továrensky preizolovaná 9 mm 32x4,7 ( 25 m )</t>
  </si>
  <si>
    <t>ZK06217</t>
  </si>
  <si>
    <t>BUS – Komunikačný kábel</t>
  </si>
  <si>
    <t xml:space="preserve">REHAU </t>
  </si>
  <si>
    <t>REHAU</t>
  </si>
  <si>
    <t>Samostatná konzola pre vonk. Jednotu montáž na zem</t>
  </si>
  <si>
    <t>ZK06305</t>
  </si>
  <si>
    <t>ZK06312</t>
  </si>
  <si>
    <t>ZK04654</t>
  </si>
  <si>
    <t>Odkaľovač Vitotrap s izoláciou</t>
  </si>
  <si>
    <t>Vitotrol 300-E</t>
  </si>
  <si>
    <t>ZK04098</t>
  </si>
  <si>
    <t>Elektrický výhrevný pás 2,5 m</t>
  </si>
  <si>
    <t>Expanzná nádoba H25, objem 25l, 3 bar</t>
  </si>
  <si>
    <t xml:space="preserve"> DODÁVKA TČ Vitoacal 222-S AWBT-M-E-AC-AF 221.E 
</t>
  </si>
  <si>
    <t>ZK06403</t>
  </si>
  <si>
    <t>Pripojovacia sada na omietku z prava</t>
  </si>
  <si>
    <t>Snímač vlhkosti, 24 V</t>
  </si>
  <si>
    <t xml:space="preserve">Inštalačná sada s medenými rúrami 12,5 m
</t>
  </si>
  <si>
    <t>Guľový kohút G 1"</t>
  </si>
  <si>
    <t>Podlahové vykurovanie</t>
  </si>
  <si>
    <t>Tepelné čerpadlo</t>
  </si>
  <si>
    <t>Napojenie</t>
  </si>
  <si>
    <t xml:space="preserve"> 
 DODÁVKA TČ Vitocal 222-S AWBT-M-E-AC-AF 221.E </t>
  </si>
  <si>
    <t xml:space="preserve">
Inštalačná sada s medenými rúrami 12,5 m</t>
  </si>
  <si>
    <t>VIESMANN</t>
  </si>
  <si>
    <t>Spracoval Bc. V. Labovský 20.03.2026</t>
  </si>
  <si>
    <t>Poznámky:</t>
  </si>
  <si>
    <t>Tento výkaz materiálu je spracovaný ako projektový podklad pre určenie predpokladaných investičných nákladov. Nejde o záväznú cenovú ponuku na predaj alebo dodávku tovaru.
Ceny sú stanovené na základe oficiálneho cenníka výrobcu Viessmann a Rehau platného k dátumu spracovania. Vzhľadom na aktuálnu volatilitu trhu projektant nezodpovedá za platnosť cien v čase nákupu materiálu.
Uvedené sumy sú cenníkové. Finálna cena závisí od obchodnej politiky vybraného dodávateľa a ním poskytnutých obchodných zliav.
V prípade výpadku v dodávateľskom reťazci alebo ukončenia výroby konkrétneho modelu si projektant vyhradzuje právo na zmenu špecifikácie za ekvivalentný produkt rovnakej alebo vyššej technickej úrovne.
Projektant nezodpovedá za škody vzniknuté neodbornou montážou alebo zámenou materiálu za iný typ bez predchádzajúcej konzultácie s autorom projektu.
Investor má plné právo na výber realizačnej firmy a dodávateľa materiálu. Projektant nie je viazaný na žiadneho konkrétneho predajcu. V prípade, že si investor zvolí iného dodávateľa alebo alternatívne komponenty, projektant nezodpovedá za kompatibilitu systému, deklarované parametre ani za prípadné dodatočné náklady.</t>
  </si>
  <si>
    <t>Univerzálna rúrka RAUTITAN stabil, továrensky preizolovaná 9 mm 32x4,7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</si>
</sst>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quot;€&quot;"/>
    <numFmt numFmtId="172" formatCode="#,##0.00\ &quot;€&quot;"/>
  </numFmts>
  <fonts count="6" x14ac:knownFonts="1">
    <font>
      <sz val="11"/>
      <color theme="1"/>
      <name val="Aptos Narrow"/>
      <family val="2"/>
      <charset val="238"/>
      <scheme val="minor"/>
    </font>
    <font>
      <sz val="11"/>
      <color theme="0"/>
      <name val="Aptos Narrow"/>
      <family val="2"/>
      <charset val="238"/>
      <scheme val="minor"/>
    </font>
    <font>
      <b/>
      <sz val="11"/>
      <color theme="1"/>
      <name val="Aptos Narrow"/>
      <family val="2"/>
      <scheme val="minor"/>
    </font>
    <font>
      <sz val="11"/>
      <color indexed="13"/>
      <name val="Aptos Narrow"/>
      <family val="2"/>
      <charset val="238"/>
      <scheme val="minor"/>
    </font>
    <font>
      <b/>
      <u/>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indexed="12"/>
        <bgColor indexed="64"/>
      </patternFill>
    </fill>
    <fill>
      <patternFill patternType="solid">
        <fgColor rgb="FFFF0000"/>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0" xfId="0" applyAlignment="1">
      <alignment wrapText="1"/>
    </xf>
    <xf numFmtId="0" fontId="2" fillId="0" borderId="0" xfId="0" applyFont="1"/>
    <xf numFmtId="0" fontId="2" fillId="0" borderId="0" xfId="0" applyFont="1" applyAlignment="1">
      <alignment vertical="top"/>
    </xf>
    <xf numFmtId="0" fontId="0" fillId="0" borderId="0" xfId="0" applyAlignment="1">
      <alignment vertical="top"/>
    </xf>
    <xf numFmtId="0" fontId="2" fillId="0" borderId="1" xfId="0" applyFont="1" applyBorder="1"/>
    <xf numFmtId="0" fontId="2" fillId="0" borderId="2" xfId="0" applyFont="1" applyBorder="1"/>
    <xf numFmtId="164" fontId="2" fillId="0" borderId="2" xfId="0" applyNumberFormat="1" applyFont="1" applyBorder="1" applyAlignment="1">
      <alignment wrapText="1"/>
    </xf>
    <xf numFmtId="164" fontId="2" fillId="0" borderId="3" xfId="0" applyNumberFormat="1" applyFont="1" applyBorder="1" applyAlignment="1">
      <alignment wrapText="1"/>
    </xf>
    <xf numFmtId="164" fontId="0" fillId="0" borderId="0" xfId="0" applyNumberFormat="1"/>
    <xf numFmtId="164" fontId="2" fillId="0" borderId="0" xfId="0" applyNumberFormat="1" applyFont="1"/>
    <xf numFmtId="0" fontId="3" fillId="2" borderId="0" xfId="0" applyFont="1" applyFill="1"/>
    <xf numFmtId="164" fontId="3" fillId="2" borderId="0" xfId="0" applyNumberFormat="1" applyFont="1" applyFill="1"/>
    <xf numFmtId="0" fontId="0" fillId="0" borderId="0" xfId="0"/>
    <xf numFmtId="164" fontId="0" fillId="0" borderId="0" xfId="0" applyNumberFormat="1"/>
    <xf numFmtId="0" fontId="0" fillId="0" borderId="0" xfId="0"/>
    <xf numFmtId="164" fontId="0" fillId="0" borderId="0" xfId="0" applyNumberFormat="1"/>
    <xf numFmtId="0" fontId="0" fillId="0" borderId="0" xfId="0"/>
    <xf numFmtId="0" fontId="2" fillId="0" borderId="0" xfId="0" applyFont="1"/>
    <xf numFmtId="0" fontId="2" fillId="0" borderId="0" xfId="0" applyFont="1" applyAlignment="1">
      <alignment vertical="top"/>
    </xf>
    <xf numFmtId="0" fontId="2" fillId="0" borderId="1" xfId="0" applyFont="1" applyBorder="1"/>
    <xf numFmtId="0" fontId="2" fillId="0" borderId="2" xfId="0" applyFont="1" applyBorder="1"/>
    <xf numFmtId="164" fontId="2" fillId="0" borderId="2" xfId="0" applyNumberFormat="1" applyFont="1" applyBorder="1" applyAlignment="1">
      <alignment wrapText="1"/>
    </xf>
    <xf numFmtId="164" fontId="2" fillId="0" borderId="3" xfId="0" applyNumberFormat="1" applyFont="1" applyBorder="1" applyAlignment="1">
      <alignment wrapText="1"/>
    </xf>
    <xf numFmtId="164" fontId="0" fillId="0" borderId="0" xfId="0" applyNumberFormat="1"/>
    <xf numFmtId="164" fontId="2" fillId="0" borderId="0" xfId="0" applyNumberFormat="1" applyFont="1"/>
    <xf numFmtId="0" fontId="3" fillId="2" borderId="0" xfId="0" applyFont="1" applyFill="1"/>
    <xf numFmtId="164" fontId="3" fillId="2" borderId="0" xfId="0" applyNumberFormat="1" applyFont="1" applyFill="1"/>
    <xf numFmtId="172" fontId="0" fillId="0" borderId="0" xfId="0" applyNumberFormat="1"/>
    <xf numFmtId="172" fontId="2" fillId="0" borderId="0" xfId="0" applyNumberFormat="1" applyFont="1"/>
    <xf numFmtId="0" fontId="0" fillId="0" borderId="0" xfId="0" applyAlignment="1">
      <alignment horizontal="right"/>
    </xf>
    <xf numFmtId="0" fontId="0" fillId="3" borderId="0" xfId="0" applyFill="1"/>
    <xf numFmtId="0" fontId="1" fillId="3" borderId="0" xfId="0" applyFont="1" applyFill="1"/>
    <xf numFmtId="0" fontId="4" fillId="0" borderId="0" xfId="0" applyFont="1"/>
    <xf numFmtId="0" fontId="5" fillId="0" borderId="0" xfId="0" applyFont="1"/>
    <xf numFmtId="164" fontId="5" fillId="0" borderId="0" xfId="0" applyNumberFormat="1" applyFont="1"/>
    <xf numFmtId="164" fontId="4" fillId="0" borderId="0" xfId="0" applyNumberFormat="1" applyFont="1"/>
  </cellXfs>
  <cellStyles count="1">
    <cellStyle name="Normálna"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B7A8-5CC5-4115-B37A-F8A512E205BB}">
  <sheetPr>
    <pageSetUpPr fitToPage="1"/>
  </sheetPr>
  <dimension ref="A1:G55"/>
  <sheetViews>
    <sheetView tabSelected="1" zoomScale="25" zoomScaleNormal="25" workbookViewId="0">
      <selection sqref="A1:I55"/>
    </sheetView>
  </sheetViews>
  <sheetFormatPr defaultRowHeight="15" x14ac:dyDescent="0.25"/>
  <cols>
    <col min="1" max="1" width="41.85546875" customWidth="1"/>
    <col min="2" max="2" width="80.85546875" customWidth="1"/>
    <col min="3" max="3" width="103.140625" customWidth="1"/>
    <col min="4" max="4" width="21.5703125" customWidth="1"/>
    <col min="5" max="5" width="22.42578125" customWidth="1"/>
    <col min="6" max="6" width="31" customWidth="1"/>
    <col min="7" max="7" width="33" customWidth="1"/>
  </cols>
  <sheetData>
    <row r="1" spans="1:7" ht="18" customHeight="1" x14ac:dyDescent="0.25">
      <c r="A1" t="s">
        <v>58</v>
      </c>
    </row>
    <row r="2" spans="1:7" ht="15" customHeight="1" x14ac:dyDescent="0.25"/>
    <row r="3" spans="1:7" ht="16.5" customHeight="1" x14ac:dyDescent="0.25">
      <c r="A3" t="s">
        <v>53</v>
      </c>
    </row>
    <row r="4" spans="1:7" ht="18" customHeight="1" x14ac:dyDescent="0.25">
      <c r="A4" s="20" t="s">
        <v>0</v>
      </c>
      <c r="B4" s="21" t="s">
        <v>1</v>
      </c>
      <c r="C4" s="21" t="s">
        <v>2</v>
      </c>
      <c r="D4" s="21" t="s">
        <v>3</v>
      </c>
      <c r="E4" s="21" t="s">
        <v>4</v>
      </c>
      <c r="F4" s="22" t="s">
        <v>5</v>
      </c>
      <c r="G4" s="23" t="s">
        <v>6</v>
      </c>
    </row>
    <row r="5" spans="1:7" ht="17.25" customHeight="1" x14ac:dyDescent="0.25">
      <c r="A5" s="31"/>
      <c r="B5" s="31"/>
      <c r="C5" s="32" t="s">
        <v>57</v>
      </c>
      <c r="D5" s="31"/>
      <c r="E5" s="31"/>
      <c r="F5" s="31"/>
      <c r="G5" s="31"/>
    </row>
    <row r="6" spans="1:7" ht="30" x14ac:dyDescent="0.25">
      <c r="A6" s="17">
        <v>1</v>
      </c>
      <c r="B6" s="17"/>
      <c r="C6" s="1" t="s">
        <v>55</v>
      </c>
      <c r="D6" s="17">
        <v>1</v>
      </c>
      <c r="E6" s="17"/>
      <c r="F6" s="28">
        <v>9462</v>
      </c>
      <c r="G6" s="28">
        <f>F6*D6</f>
        <v>9462</v>
      </c>
    </row>
    <row r="7" spans="1:7" x14ac:dyDescent="0.25">
      <c r="A7" s="17">
        <v>2</v>
      </c>
      <c r="B7" s="30" t="s">
        <v>38</v>
      </c>
      <c r="C7" s="17" t="s">
        <v>37</v>
      </c>
      <c r="D7" s="17">
        <v>1</v>
      </c>
      <c r="E7" s="17" t="s">
        <v>13</v>
      </c>
      <c r="F7" s="28">
        <v>213</v>
      </c>
      <c r="G7" s="28">
        <f t="shared" ref="G7:G16" si="0">F7*D7</f>
        <v>213</v>
      </c>
    </row>
    <row r="8" spans="1:7" ht="30" x14ac:dyDescent="0.25">
      <c r="A8" s="17">
        <v>3</v>
      </c>
      <c r="B8" s="30" t="s">
        <v>39</v>
      </c>
      <c r="C8" s="1" t="s">
        <v>56</v>
      </c>
      <c r="D8" s="17">
        <v>1</v>
      </c>
      <c r="E8" s="17" t="s">
        <v>13</v>
      </c>
      <c r="F8" s="28">
        <v>904</v>
      </c>
      <c r="G8" s="28">
        <f t="shared" si="0"/>
        <v>904</v>
      </c>
    </row>
    <row r="9" spans="1:7" x14ac:dyDescent="0.25">
      <c r="A9" s="17">
        <v>4</v>
      </c>
      <c r="B9" s="30" t="s">
        <v>47</v>
      </c>
      <c r="C9" s="17" t="s">
        <v>48</v>
      </c>
      <c r="D9" s="17">
        <v>1</v>
      </c>
      <c r="E9" s="17" t="s">
        <v>13</v>
      </c>
      <c r="F9" s="28">
        <v>163</v>
      </c>
      <c r="G9" s="28">
        <f t="shared" si="0"/>
        <v>163</v>
      </c>
    </row>
    <row r="10" spans="1:7" x14ac:dyDescent="0.25">
      <c r="A10" s="17">
        <v>5</v>
      </c>
      <c r="B10" s="30" t="s">
        <v>40</v>
      </c>
      <c r="C10" s="17" t="s">
        <v>41</v>
      </c>
      <c r="D10" s="17">
        <v>1</v>
      </c>
      <c r="E10" s="17" t="s">
        <v>13</v>
      </c>
      <c r="F10" s="28">
        <v>197</v>
      </c>
      <c r="G10" s="28">
        <f t="shared" si="0"/>
        <v>197</v>
      </c>
    </row>
    <row r="11" spans="1:7" x14ac:dyDescent="0.25">
      <c r="A11" s="17">
        <v>6</v>
      </c>
      <c r="B11" s="30" t="s">
        <v>33</v>
      </c>
      <c r="C11" s="17" t="s">
        <v>34</v>
      </c>
      <c r="D11" s="17">
        <v>1</v>
      </c>
      <c r="E11" s="17" t="s">
        <v>13</v>
      </c>
      <c r="F11" s="28">
        <v>98</v>
      </c>
      <c r="G11" s="28">
        <f t="shared" si="0"/>
        <v>98</v>
      </c>
    </row>
    <row r="12" spans="1:7" x14ac:dyDescent="0.25">
      <c r="A12" s="17">
        <v>7</v>
      </c>
      <c r="B12" s="30">
        <v>7959522</v>
      </c>
      <c r="C12" s="17" t="s">
        <v>42</v>
      </c>
      <c r="D12" s="17">
        <v>1</v>
      </c>
      <c r="E12" s="17" t="s">
        <v>13</v>
      </c>
      <c r="F12" s="28">
        <v>421</v>
      </c>
      <c r="G12" s="28">
        <f t="shared" si="0"/>
        <v>421</v>
      </c>
    </row>
    <row r="13" spans="1:7" x14ac:dyDescent="0.25">
      <c r="A13" s="17">
        <v>8</v>
      </c>
      <c r="B13" s="30" t="s">
        <v>43</v>
      </c>
      <c r="C13" s="17" t="s">
        <v>44</v>
      </c>
      <c r="D13" s="17">
        <v>1</v>
      </c>
      <c r="E13" s="17" t="s">
        <v>13</v>
      </c>
      <c r="F13" s="28">
        <v>328</v>
      </c>
      <c r="G13" s="28">
        <f t="shared" si="0"/>
        <v>328</v>
      </c>
    </row>
    <row r="14" spans="1:7" x14ac:dyDescent="0.25">
      <c r="A14" s="17">
        <v>9</v>
      </c>
      <c r="B14" s="17">
        <v>7938081</v>
      </c>
      <c r="C14" s="17" t="s">
        <v>45</v>
      </c>
      <c r="D14" s="17">
        <v>1</v>
      </c>
      <c r="E14" s="17" t="s">
        <v>13</v>
      </c>
      <c r="F14" s="28">
        <v>56</v>
      </c>
      <c r="G14" s="28">
        <f t="shared" si="0"/>
        <v>56</v>
      </c>
    </row>
    <row r="15" spans="1:7" x14ac:dyDescent="0.25">
      <c r="A15" s="17">
        <v>10</v>
      </c>
      <c r="B15" s="17">
        <v>7181418</v>
      </c>
      <c r="C15" s="17" t="s">
        <v>49</v>
      </c>
      <c r="D15" s="17">
        <v>1</v>
      </c>
      <c r="E15" s="17" t="s">
        <v>13</v>
      </c>
      <c r="F15" s="28">
        <v>371</v>
      </c>
      <c r="G15" s="28">
        <f t="shared" si="0"/>
        <v>371</v>
      </c>
    </row>
    <row r="16" spans="1:7" x14ac:dyDescent="0.25">
      <c r="A16" s="17"/>
      <c r="B16" s="17">
        <v>7438468</v>
      </c>
      <c r="C16" s="17" t="s">
        <v>51</v>
      </c>
      <c r="D16" s="17">
        <v>3</v>
      </c>
      <c r="E16" s="17" t="s">
        <v>13</v>
      </c>
      <c r="F16" s="28">
        <v>18</v>
      </c>
      <c r="G16" s="28">
        <f t="shared" si="0"/>
        <v>54</v>
      </c>
    </row>
    <row r="17" spans="1:7" x14ac:dyDescent="0.25">
      <c r="A17" s="17"/>
      <c r="B17" s="17"/>
      <c r="C17" s="17"/>
      <c r="D17" s="18" t="s">
        <v>26</v>
      </c>
      <c r="E17" s="17"/>
      <c r="F17" s="18"/>
      <c r="G17" s="29">
        <f>SUM(G6:G16)</f>
        <v>12267</v>
      </c>
    </row>
    <row r="18" spans="1:7" x14ac:dyDescent="0.25">
      <c r="A18" t="s">
        <v>54</v>
      </c>
    </row>
    <row r="19" spans="1:7" ht="45" x14ac:dyDescent="0.25">
      <c r="A19" s="20" t="s">
        <v>0</v>
      </c>
      <c r="B19" s="21" t="s">
        <v>1</v>
      </c>
      <c r="C19" s="21" t="s">
        <v>2</v>
      </c>
      <c r="D19" s="21" t="s">
        <v>3</v>
      </c>
      <c r="E19" s="21" t="s">
        <v>4</v>
      </c>
      <c r="F19" s="22" t="s">
        <v>5</v>
      </c>
      <c r="G19" s="23" t="s">
        <v>6</v>
      </c>
    </row>
    <row r="20" spans="1:7" x14ac:dyDescent="0.25">
      <c r="A20" s="26"/>
      <c r="B20" s="26"/>
      <c r="C20" s="26" t="s">
        <v>35</v>
      </c>
      <c r="D20" s="26"/>
      <c r="E20" s="26"/>
      <c r="F20" s="27"/>
      <c r="G20" s="27"/>
    </row>
    <row r="21" spans="1:7" x14ac:dyDescent="0.25">
      <c r="A21" s="17">
        <v>1</v>
      </c>
      <c r="B21" s="17">
        <v>11315851025</v>
      </c>
      <c r="C21" s="17" t="s">
        <v>61</v>
      </c>
      <c r="D21" s="17">
        <v>3</v>
      </c>
      <c r="E21" s="17" t="s">
        <v>9</v>
      </c>
      <c r="F21" s="24">
        <v>13.44</v>
      </c>
      <c r="G21" s="24">
        <v>40.32</v>
      </c>
    </row>
    <row r="22" spans="1:7" x14ac:dyDescent="0.25">
      <c r="A22" s="17">
        <v>2</v>
      </c>
      <c r="B22" s="17">
        <v>12584081002</v>
      </c>
      <c r="C22" s="17" t="s">
        <v>29</v>
      </c>
      <c r="D22" s="17">
        <v>22</v>
      </c>
      <c r="E22" s="17" t="s">
        <v>13</v>
      </c>
      <c r="F22" s="24">
        <v>1.38</v>
      </c>
      <c r="G22" s="24">
        <v>30.36</v>
      </c>
    </row>
    <row r="23" spans="1:7" x14ac:dyDescent="0.25">
      <c r="A23" s="17">
        <v>3</v>
      </c>
      <c r="B23" s="17">
        <v>12393331001</v>
      </c>
      <c r="C23" s="17" t="s">
        <v>30</v>
      </c>
      <c r="D23" s="17">
        <v>22</v>
      </c>
      <c r="E23" s="17" t="s">
        <v>13</v>
      </c>
      <c r="F23" s="24">
        <v>1.17</v>
      </c>
      <c r="G23" s="24">
        <v>25.74</v>
      </c>
    </row>
    <row r="24" spans="1:7" x14ac:dyDescent="0.25">
      <c r="A24" s="17"/>
      <c r="B24" s="18"/>
      <c r="C24" s="18"/>
      <c r="D24" s="18" t="s">
        <v>26</v>
      </c>
      <c r="E24" s="18"/>
      <c r="F24" s="25"/>
      <c r="G24" s="25">
        <f>SUM(G20:G22)</f>
        <v>70.680000000000007</v>
      </c>
    </row>
    <row r="25" spans="1:7" x14ac:dyDescent="0.25">
      <c r="A25" s="17"/>
      <c r="B25" s="17"/>
      <c r="C25" s="17"/>
      <c r="D25" s="18"/>
      <c r="E25" s="17"/>
      <c r="F25" s="24"/>
      <c r="G25" s="25"/>
    </row>
    <row r="26" spans="1:7" x14ac:dyDescent="0.25">
      <c r="A26" t="s">
        <v>52</v>
      </c>
    </row>
    <row r="27" spans="1:7" ht="45" x14ac:dyDescent="0.25">
      <c r="A27" s="20" t="s">
        <v>0</v>
      </c>
      <c r="B27" s="21" t="s">
        <v>1</v>
      </c>
      <c r="C27" s="21" t="s">
        <v>2</v>
      </c>
      <c r="D27" s="21" t="s">
        <v>3</v>
      </c>
      <c r="E27" s="21" t="s">
        <v>4</v>
      </c>
      <c r="F27" s="22" t="s">
        <v>5</v>
      </c>
      <c r="G27" s="23" t="s">
        <v>6</v>
      </c>
    </row>
    <row r="28" spans="1:7" x14ac:dyDescent="0.25">
      <c r="A28" s="26"/>
      <c r="B28" s="26"/>
      <c r="C28" s="26" t="s">
        <v>36</v>
      </c>
      <c r="D28" s="26"/>
      <c r="E28" s="26"/>
      <c r="F28" s="27"/>
      <c r="G28" s="27"/>
    </row>
    <row r="29" spans="1:7" x14ac:dyDescent="0.25">
      <c r="A29" s="17">
        <v>1</v>
      </c>
      <c r="B29" s="17" t="s">
        <v>7</v>
      </c>
      <c r="C29" s="17" t="s">
        <v>8</v>
      </c>
      <c r="D29" s="17">
        <v>814.71</v>
      </c>
      <c r="E29" s="17" t="s">
        <v>9</v>
      </c>
      <c r="F29" s="24">
        <v>1.64</v>
      </c>
      <c r="G29" s="24">
        <v>1336.12</v>
      </c>
    </row>
    <row r="30" spans="1:7" x14ac:dyDescent="0.25">
      <c r="A30" s="17">
        <v>2</v>
      </c>
      <c r="B30" s="17">
        <v>12278391001</v>
      </c>
      <c r="C30" s="17" t="s">
        <v>10</v>
      </c>
      <c r="D30" s="17">
        <v>117.81</v>
      </c>
      <c r="E30" s="17" t="s">
        <v>11</v>
      </c>
      <c r="F30" s="24">
        <v>9.25</v>
      </c>
      <c r="G30" s="24">
        <v>1089.74</v>
      </c>
    </row>
    <row r="31" spans="1:7" x14ac:dyDescent="0.25">
      <c r="A31" s="17">
        <v>3</v>
      </c>
      <c r="B31" s="17">
        <v>13802101200</v>
      </c>
      <c r="C31" s="17" t="s">
        <v>12</v>
      </c>
      <c r="D31" s="17">
        <v>1</v>
      </c>
      <c r="E31" s="17" t="s">
        <v>13</v>
      </c>
      <c r="F31" s="24">
        <v>454.58</v>
      </c>
      <c r="G31" s="24">
        <v>454.58</v>
      </c>
    </row>
    <row r="32" spans="1:7" x14ac:dyDescent="0.25">
      <c r="A32" s="17">
        <v>4</v>
      </c>
      <c r="B32" s="17">
        <v>11374271050</v>
      </c>
      <c r="C32" s="17" t="s">
        <v>14</v>
      </c>
      <c r="D32" s="17">
        <v>40.74</v>
      </c>
      <c r="E32" s="17" t="s">
        <v>9</v>
      </c>
      <c r="F32" s="24">
        <v>1.24</v>
      </c>
      <c r="G32" s="24">
        <v>50.52</v>
      </c>
    </row>
    <row r="33" spans="1:7" x14ac:dyDescent="0.25">
      <c r="A33" s="17">
        <v>5</v>
      </c>
      <c r="B33" s="17">
        <v>12506071002</v>
      </c>
      <c r="C33" s="17" t="s">
        <v>15</v>
      </c>
      <c r="D33" s="17">
        <v>22</v>
      </c>
      <c r="E33" s="17" t="s">
        <v>13</v>
      </c>
      <c r="F33" s="24">
        <v>4.66</v>
      </c>
      <c r="G33" s="24">
        <v>102.52</v>
      </c>
    </row>
    <row r="34" spans="1:7" x14ac:dyDescent="0.25">
      <c r="A34" s="17">
        <v>6</v>
      </c>
      <c r="B34" s="17">
        <v>13474201001</v>
      </c>
      <c r="C34" s="17" t="s">
        <v>31</v>
      </c>
      <c r="D34" s="17">
        <v>1</v>
      </c>
      <c r="E34" s="17" t="s">
        <v>13</v>
      </c>
      <c r="F34" s="24">
        <v>143.13</v>
      </c>
      <c r="G34" s="24">
        <v>143.13</v>
      </c>
    </row>
    <row r="35" spans="1:7" x14ac:dyDescent="0.25">
      <c r="A35" s="17">
        <v>7</v>
      </c>
      <c r="B35" s="17">
        <v>12392431001</v>
      </c>
      <c r="C35" s="17" t="s">
        <v>16</v>
      </c>
      <c r="D35" s="17">
        <v>8.64</v>
      </c>
      <c r="E35" s="17" t="s">
        <v>9</v>
      </c>
      <c r="F35" s="24">
        <v>10.35</v>
      </c>
      <c r="G35" s="24">
        <v>89.42</v>
      </c>
    </row>
    <row r="36" spans="1:7" x14ac:dyDescent="0.25">
      <c r="A36" s="17">
        <v>8</v>
      </c>
      <c r="B36" s="17">
        <v>13280041004</v>
      </c>
      <c r="C36" s="17" t="s">
        <v>17</v>
      </c>
      <c r="D36" s="17">
        <v>5</v>
      </c>
      <c r="E36" s="17" t="s">
        <v>13</v>
      </c>
      <c r="F36" s="24">
        <v>128.76</v>
      </c>
      <c r="G36" s="24">
        <v>643.9</v>
      </c>
    </row>
    <row r="37" spans="1:7" x14ac:dyDescent="0.25">
      <c r="A37" s="17">
        <v>9</v>
      </c>
      <c r="B37" s="17">
        <v>13280191001</v>
      </c>
      <c r="C37" s="17" t="s">
        <v>18</v>
      </c>
      <c r="D37" s="17">
        <v>1</v>
      </c>
      <c r="E37" s="17" t="s">
        <v>13</v>
      </c>
      <c r="F37" s="24">
        <v>76.48</v>
      </c>
      <c r="G37" s="24">
        <v>76.48</v>
      </c>
    </row>
    <row r="38" spans="1:7" x14ac:dyDescent="0.25">
      <c r="A38" s="17">
        <v>10</v>
      </c>
      <c r="B38" s="17">
        <v>13280241001</v>
      </c>
      <c r="C38" s="17" t="s">
        <v>19</v>
      </c>
      <c r="D38" s="17">
        <v>1</v>
      </c>
      <c r="E38" s="17" t="s">
        <v>13</v>
      </c>
      <c r="F38" s="24">
        <v>513.73</v>
      </c>
      <c r="G38" s="24">
        <v>513.73</v>
      </c>
    </row>
    <row r="39" spans="1:7" x14ac:dyDescent="0.25">
      <c r="A39" s="17">
        <v>11</v>
      </c>
      <c r="B39" s="17">
        <v>12179041001</v>
      </c>
      <c r="C39" s="17" t="s">
        <v>20</v>
      </c>
      <c r="D39" s="17">
        <v>139.02000000000001</v>
      </c>
      <c r="E39" s="17" t="s">
        <v>9</v>
      </c>
      <c r="F39" s="24">
        <v>1.4</v>
      </c>
      <c r="G39" s="24">
        <v>194.63</v>
      </c>
    </row>
    <row r="40" spans="1:7" x14ac:dyDescent="0.25">
      <c r="A40" s="17">
        <v>12</v>
      </c>
      <c r="B40" s="17">
        <v>12563741003</v>
      </c>
      <c r="C40" s="17" t="s">
        <v>21</v>
      </c>
      <c r="D40" s="17">
        <v>25.92</v>
      </c>
      <c r="E40" s="17" t="s">
        <v>22</v>
      </c>
      <c r="F40" s="24">
        <v>5.18</v>
      </c>
      <c r="G40" s="24">
        <v>134.27000000000001</v>
      </c>
    </row>
    <row r="41" spans="1:7" x14ac:dyDescent="0.25">
      <c r="A41" s="17">
        <v>13</v>
      </c>
      <c r="B41" s="17">
        <v>13992761001</v>
      </c>
      <c r="C41" s="17" t="s">
        <v>23</v>
      </c>
      <c r="D41" s="17">
        <v>11</v>
      </c>
      <c r="E41" s="17" t="s">
        <v>13</v>
      </c>
      <c r="F41" s="24">
        <v>33.85</v>
      </c>
      <c r="G41" s="24">
        <v>372.35</v>
      </c>
    </row>
    <row r="42" spans="1:7" x14ac:dyDescent="0.25">
      <c r="A42" s="17">
        <v>14</v>
      </c>
      <c r="B42" s="17">
        <v>12278491001</v>
      </c>
      <c r="C42" s="17" t="s">
        <v>24</v>
      </c>
      <c r="D42" s="17">
        <v>12</v>
      </c>
      <c r="E42" s="17" t="s">
        <v>13</v>
      </c>
      <c r="F42" s="24">
        <v>1.86</v>
      </c>
      <c r="G42" s="24">
        <v>22.32</v>
      </c>
    </row>
    <row r="43" spans="1:7" x14ac:dyDescent="0.25">
      <c r="A43" s="17">
        <v>15</v>
      </c>
      <c r="B43" s="17">
        <v>12392031001</v>
      </c>
      <c r="C43" s="17" t="s">
        <v>25</v>
      </c>
      <c r="D43" s="17">
        <v>35</v>
      </c>
      <c r="E43" s="17" t="s">
        <v>13</v>
      </c>
      <c r="F43" s="24">
        <v>0.19</v>
      </c>
      <c r="G43" s="24">
        <v>6.65</v>
      </c>
    </row>
    <row r="44" spans="1:7" x14ac:dyDescent="0.25">
      <c r="A44" s="17">
        <v>1</v>
      </c>
      <c r="B44" s="17">
        <v>11315851025</v>
      </c>
      <c r="C44" s="17" t="s">
        <v>32</v>
      </c>
      <c r="D44" s="17">
        <v>2.4</v>
      </c>
      <c r="E44" s="17" t="s">
        <v>9</v>
      </c>
      <c r="F44" s="24">
        <v>13.44</v>
      </c>
      <c r="G44" s="24">
        <v>32.26</v>
      </c>
    </row>
    <row r="45" spans="1:7" x14ac:dyDescent="0.25">
      <c r="A45" s="17"/>
      <c r="B45" s="17"/>
      <c r="C45" s="17"/>
      <c r="D45" s="17"/>
      <c r="E45" s="17"/>
      <c r="F45" s="24"/>
      <c r="G45" s="24"/>
    </row>
    <row r="46" spans="1:7" x14ac:dyDescent="0.25">
      <c r="A46" s="18"/>
      <c r="B46" s="18"/>
      <c r="C46" s="18"/>
      <c r="D46" s="18" t="s">
        <v>26</v>
      </c>
      <c r="E46" s="18"/>
      <c r="F46" s="25"/>
      <c r="G46" s="25">
        <f>SUM(G28:G43)</f>
        <v>5230.3599999999997</v>
      </c>
    </row>
    <row r="47" spans="1:7" x14ac:dyDescent="0.25">
      <c r="A47" s="17"/>
      <c r="B47" s="17"/>
      <c r="C47" s="17"/>
    </row>
    <row r="50" spans="1:7" x14ac:dyDescent="0.25">
      <c r="D50" s="33" t="s">
        <v>27</v>
      </c>
      <c r="E50" s="34"/>
      <c r="F50" s="35"/>
      <c r="G50" s="36">
        <f>G46+G24+G17</f>
        <v>17568.04</v>
      </c>
    </row>
    <row r="54" spans="1:7" ht="21.75" customHeight="1" x14ac:dyDescent="0.25">
      <c r="A54" s="19" t="s">
        <v>59</v>
      </c>
    </row>
    <row r="55" spans="1:7" ht="338.25" customHeight="1" x14ac:dyDescent="0.25">
      <c r="B55" s="1" t="s">
        <v>60</v>
      </c>
    </row>
  </sheetData>
  <pageMargins left="0.25" right="0.25" top="0.75" bottom="0.75" header="0.3" footer="0.3"/>
  <pageSetup paperSize="8" scale="5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0259-97A4-446E-A129-D543F1810A9F}">
  <dimension ref="A1:G14"/>
  <sheetViews>
    <sheetView workbookViewId="0">
      <selection activeCell="G13" sqref="G13"/>
    </sheetView>
  </sheetViews>
  <sheetFormatPr defaultRowHeight="15" x14ac:dyDescent="0.25"/>
  <cols>
    <col min="3" max="3" width="83.7109375" customWidth="1"/>
    <col min="4" max="4" width="14.7109375" customWidth="1"/>
    <col min="5" max="5" width="17.7109375" customWidth="1"/>
    <col min="6" max="6" width="36.140625" customWidth="1"/>
    <col min="7" max="7" width="37" customWidth="1"/>
  </cols>
  <sheetData>
    <row r="1" spans="1:7" ht="75" x14ac:dyDescent="0.25">
      <c r="A1" s="20" t="s">
        <v>0</v>
      </c>
      <c r="B1" s="21" t="s">
        <v>1</v>
      </c>
      <c r="C1" s="21" t="s">
        <v>2</v>
      </c>
      <c r="D1" s="21" t="s">
        <v>3</v>
      </c>
      <c r="E1" s="21" t="s">
        <v>4</v>
      </c>
      <c r="F1" s="22" t="s">
        <v>5</v>
      </c>
      <c r="G1" s="23" t="s">
        <v>6</v>
      </c>
    </row>
    <row r="2" spans="1:7" ht="37.5" customHeight="1" x14ac:dyDescent="0.25">
      <c r="A2">
        <v>1</v>
      </c>
      <c r="C2" s="1" t="s">
        <v>46</v>
      </c>
      <c r="D2">
        <v>1</v>
      </c>
      <c r="F2" s="28">
        <v>9462</v>
      </c>
      <c r="G2" s="28">
        <f>F2*D2</f>
        <v>9462</v>
      </c>
    </row>
    <row r="3" spans="1:7" x14ac:dyDescent="0.25">
      <c r="A3">
        <v>2</v>
      </c>
      <c r="B3" t="s">
        <v>38</v>
      </c>
      <c r="C3" t="s">
        <v>37</v>
      </c>
      <c r="D3">
        <v>1</v>
      </c>
      <c r="F3" s="28">
        <v>213</v>
      </c>
      <c r="G3" s="28">
        <f t="shared" ref="G3:G12" si="0">F3*D3</f>
        <v>213</v>
      </c>
    </row>
    <row r="4" spans="1:7" ht="30" x14ac:dyDescent="0.25">
      <c r="A4">
        <v>3</v>
      </c>
      <c r="B4" t="s">
        <v>39</v>
      </c>
      <c r="C4" s="1" t="s">
        <v>50</v>
      </c>
      <c r="D4">
        <v>1</v>
      </c>
      <c r="F4" s="28">
        <v>904</v>
      </c>
      <c r="G4" s="28">
        <f t="shared" si="0"/>
        <v>904</v>
      </c>
    </row>
    <row r="5" spans="1:7" x14ac:dyDescent="0.25">
      <c r="A5">
        <v>4</v>
      </c>
      <c r="B5" t="s">
        <v>47</v>
      </c>
      <c r="C5" t="s">
        <v>48</v>
      </c>
      <c r="D5">
        <v>1</v>
      </c>
      <c r="F5" s="28">
        <v>163</v>
      </c>
      <c r="G5" s="28">
        <f t="shared" si="0"/>
        <v>163</v>
      </c>
    </row>
    <row r="6" spans="1:7" x14ac:dyDescent="0.25">
      <c r="A6">
        <v>5</v>
      </c>
      <c r="B6" t="s">
        <v>40</v>
      </c>
      <c r="C6" t="s">
        <v>41</v>
      </c>
      <c r="D6">
        <v>1</v>
      </c>
      <c r="F6" s="28">
        <v>197</v>
      </c>
      <c r="G6" s="28">
        <f t="shared" si="0"/>
        <v>197</v>
      </c>
    </row>
    <row r="7" spans="1:7" x14ac:dyDescent="0.25">
      <c r="A7">
        <v>6</v>
      </c>
      <c r="B7" t="s">
        <v>33</v>
      </c>
      <c r="C7" t="s">
        <v>34</v>
      </c>
      <c r="D7">
        <v>1</v>
      </c>
      <c r="F7" s="28">
        <v>98</v>
      </c>
      <c r="G7" s="28">
        <f t="shared" si="0"/>
        <v>98</v>
      </c>
    </row>
    <row r="8" spans="1:7" x14ac:dyDescent="0.25">
      <c r="A8">
        <v>7</v>
      </c>
      <c r="B8">
        <v>7959522</v>
      </c>
      <c r="C8" t="s">
        <v>42</v>
      </c>
      <c r="D8">
        <v>1</v>
      </c>
      <c r="F8" s="28">
        <v>421</v>
      </c>
      <c r="G8" s="28">
        <f t="shared" si="0"/>
        <v>421</v>
      </c>
    </row>
    <row r="9" spans="1:7" x14ac:dyDescent="0.25">
      <c r="A9">
        <v>8</v>
      </c>
      <c r="B9" t="s">
        <v>43</v>
      </c>
      <c r="C9" t="s">
        <v>44</v>
      </c>
      <c r="D9">
        <v>1</v>
      </c>
      <c r="F9" s="28">
        <v>328</v>
      </c>
      <c r="G9" s="28">
        <f t="shared" si="0"/>
        <v>328</v>
      </c>
    </row>
    <row r="10" spans="1:7" x14ac:dyDescent="0.25">
      <c r="A10">
        <v>9</v>
      </c>
      <c r="B10">
        <v>7938081</v>
      </c>
      <c r="C10" t="s">
        <v>45</v>
      </c>
      <c r="D10">
        <v>1</v>
      </c>
      <c r="F10" s="28">
        <v>56</v>
      </c>
      <c r="G10" s="28">
        <f t="shared" si="0"/>
        <v>56</v>
      </c>
    </row>
    <row r="11" spans="1:7" x14ac:dyDescent="0.25">
      <c r="A11">
        <v>10</v>
      </c>
      <c r="B11">
        <v>7181418</v>
      </c>
      <c r="C11" t="s">
        <v>49</v>
      </c>
      <c r="D11">
        <v>1</v>
      </c>
      <c r="F11" s="28">
        <v>371</v>
      </c>
      <c r="G11" s="28">
        <f t="shared" si="0"/>
        <v>371</v>
      </c>
    </row>
    <row r="12" spans="1:7" x14ac:dyDescent="0.25">
      <c r="B12">
        <v>7438468</v>
      </c>
      <c r="C12" t="s">
        <v>51</v>
      </c>
      <c r="D12">
        <v>3</v>
      </c>
      <c r="F12" s="28">
        <v>18</v>
      </c>
      <c r="G12" s="28">
        <f t="shared" si="0"/>
        <v>54</v>
      </c>
    </row>
    <row r="13" spans="1:7" x14ac:dyDescent="0.25">
      <c r="F13" s="18" t="s">
        <v>26</v>
      </c>
      <c r="G13" s="29">
        <f>SUM(G2:G12)</f>
        <v>12267</v>
      </c>
    </row>
    <row r="14" spans="1:7" x14ac:dyDescent="0.25">
      <c r="F14"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0B85-5D17-4C18-A48A-84F65C171570}">
  <dimension ref="A1:G8"/>
  <sheetViews>
    <sheetView workbookViewId="0">
      <selection activeCell="B8" sqref="B8"/>
    </sheetView>
  </sheetViews>
  <sheetFormatPr defaultRowHeight="15" x14ac:dyDescent="0.25"/>
  <cols>
    <col min="1" max="1" width="2.5703125" bestFit="1" customWidth="1"/>
    <col min="2" max="2" width="12" bestFit="1" customWidth="1"/>
    <col min="3" max="3" width="73.5703125" bestFit="1" customWidth="1"/>
    <col min="4" max="4" width="23.85546875" bestFit="1" customWidth="1"/>
    <col min="5" max="5" width="9" bestFit="1" customWidth="1"/>
    <col min="6" max="6" width="9.140625" style="9"/>
    <col min="7" max="7" width="9.42578125" style="9" bestFit="1" customWidth="1"/>
  </cols>
  <sheetData>
    <row r="1" spans="1:7" ht="75" x14ac:dyDescent="0.25">
      <c r="A1" s="5" t="s">
        <v>0</v>
      </c>
      <c r="B1" s="6" t="s">
        <v>1</v>
      </c>
      <c r="C1" s="6" t="s">
        <v>2</v>
      </c>
      <c r="D1" s="6" t="s">
        <v>3</v>
      </c>
      <c r="E1" s="6" t="s">
        <v>4</v>
      </c>
      <c r="F1" s="7" t="s">
        <v>5</v>
      </c>
      <c r="G1" s="8" t="s">
        <v>6</v>
      </c>
    </row>
    <row r="2" spans="1:7" x14ac:dyDescent="0.25">
      <c r="A2" s="11"/>
      <c r="B2" s="11"/>
      <c r="C2" s="11" t="s">
        <v>35</v>
      </c>
      <c r="D2" s="11"/>
      <c r="E2" s="11"/>
      <c r="F2" s="12"/>
      <c r="G2" s="12"/>
    </row>
    <row r="3" spans="1:7" x14ac:dyDescent="0.25">
      <c r="A3" s="15">
        <v>1</v>
      </c>
      <c r="B3" s="15">
        <v>11315851025</v>
      </c>
      <c r="C3" s="15" t="s">
        <v>32</v>
      </c>
      <c r="D3" s="15">
        <v>3</v>
      </c>
      <c r="E3" s="15" t="s">
        <v>9</v>
      </c>
      <c r="F3" s="16">
        <v>13.44</v>
      </c>
      <c r="G3" s="16">
        <v>40.32</v>
      </c>
    </row>
    <row r="4" spans="1:7" x14ac:dyDescent="0.25">
      <c r="A4" s="15">
        <v>2</v>
      </c>
      <c r="B4" s="15">
        <v>12584081002</v>
      </c>
      <c r="C4" s="15" t="s">
        <v>29</v>
      </c>
      <c r="D4" s="15">
        <v>22</v>
      </c>
      <c r="E4" s="15" t="s">
        <v>13</v>
      </c>
      <c r="F4" s="16">
        <v>1.38</v>
      </c>
      <c r="G4" s="16">
        <v>30.36</v>
      </c>
    </row>
    <row r="5" spans="1:7" s="2" customFormat="1" x14ac:dyDescent="0.25">
      <c r="A5" s="15">
        <v>3</v>
      </c>
      <c r="B5" s="15">
        <v>12393331001</v>
      </c>
      <c r="C5" s="15" t="s">
        <v>30</v>
      </c>
      <c r="D5" s="15">
        <v>22</v>
      </c>
      <c r="E5" s="15" t="s">
        <v>13</v>
      </c>
      <c r="F5" s="16">
        <v>1.17</v>
      </c>
      <c r="G5" s="16">
        <v>25.74</v>
      </c>
    </row>
    <row r="6" spans="1:7" x14ac:dyDescent="0.25">
      <c r="B6" s="2"/>
      <c r="C6" s="2"/>
      <c r="D6" s="2" t="s">
        <v>26</v>
      </c>
      <c r="E6" s="2"/>
      <c r="F6" s="10"/>
      <c r="G6" s="10">
        <f>SUM(G2:G4)</f>
        <v>70.680000000000007</v>
      </c>
    </row>
    <row r="7" spans="1:7" x14ac:dyDescent="0.25">
      <c r="D7" s="2"/>
      <c r="G7" s="10"/>
    </row>
    <row r="8" spans="1:7" x14ac:dyDescent="0.25">
      <c r="B8" s="3" t="s">
        <v>28</v>
      </c>
      <c r="C8" s="4"/>
    </row>
  </sheetData>
  <pageMargins left="0.7" right="0.7" top="0.75" bottom="0.75" header="0.3" footer="0.3"/>
  <pageSetup paperSize="9" orientation="portrait" r:id="rId1"/>
  <headerFooter>
    <oddHeader>&amp;R&amp;B &amp;L&amp;8TechCON - Špecifikácia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8F64-712F-49AA-AB73-3345F36F5E8F}">
  <dimension ref="A1:G22"/>
  <sheetViews>
    <sheetView workbookViewId="0">
      <selection activeCell="G21" sqref="D21:G21"/>
    </sheetView>
  </sheetViews>
  <sheetFormatPr defaultRowHeight="15" x14ac:dyDescent="0.25"/>
  <cols>
    <col min="1" max="1" width="3" bestFit="1" customWidth="1"/>
    <col min="2" max="2" width="36.85546875" bestFit="1" customWidth="1"/>
    <col min="3" max="3" width="79.85546875" bestFit="1" customWidth="1"/>
    <col min="4" max="4" width="23.85546875" bestFit="1" customWidth="1"/>
    <col min="5" max="5" width="9" bestFit="1" customWidth="1"/>
    <col min="6" max="6" width="9.28515625" style="9" bestFit="1" customWidth="1"/>
    <col min="7" max="7" width="9.42578125" style="9" bestFit="1" customWidth="1"/>
  </cols>
  <sheetData>
    <row r="1" spans="1:7" ht="75" x14ac:dyDescent="0.25">
      <c r="A1" s="5" t="s">
        <v>0</v>
      </c>
      <c r="B1" s="6" t="s">
        <v>1</v>
      </c>
      <c r="C1" s="6" t="s">
        <v>2</v>
      </c>
      <c r="D1" s="6" t="s">
        <v>3</v>
      </c>
      <c r="E1" s="6" t="s">
        <v>4</v>
      </c>
      <c r="F1" s="7" t="s">
        <v>5</v>
      </c>
      <c r="G1" s="8" t="s">
        <v>6</v>
      </c>
    </row>
    <row r="2" spans="1:7" x14ac:dyDescent="0.25">
      <c r="A2" s="11"/>
      <c r="B2" s="11"/>
      <c r="C2" s="11" t="s">
        <v>36</v>
      </c>
      <c r="D2" s="11"/>
      <c r="E2" s="11"/>
      <c r="F2" s="12"/>
      <c r="G2" s="12"/>
    </row>
    <row r="3" spans="1:7" x14ac:dyDescent="0.25">
      <c r="A3">
        <v>1</v>
      </c>
      <c r="B3" t="s">
        <v>7</v>
      </c>
      <c r="C3" t="s">
        <v>8</v>
      </c>
      <c r="D3">
        <v>814.71</v>
      </c>
      <c r="E3" t="s">
        <v>9</v>
      </c>
      <c r="F3" s="9">
        <v>1.64</v>
      </c>
      <c r="G3" s="9">
        <v>1336.12</v>
      </c>
    </row>
    <row r="4" spans="1:7" x14ac:dyDescent="0.25">
      <c r="A4">
        <v>2</v>
      </c>
      <c r="B4">
        <v>12278391001</v>
      </c>
      <c r="C4" t="s">
        <v>10</v>
      </c>
      <c r="D4">
        <v>117.81</v>
      </c>
      <c r="E4" t="s">
        <v>11</v>
      </c>
      <c r="F4" s="9">
        <v>9.25</v>
      </c>
      <c r="G4" s="9">
        <v>1089.74</v>
      </c>
    </row>
    <row r="5" spans="1:7" x14ac:dyDescent="0.25">
      <c r="A5">
        <v>3</v>
      </c>
      <c r="B5">
        <v>13802101200</v>
      </c>
      <c r="C5" t="s">
        <v>12</v>
      </c>
      <c r="D5">
        <v>1</v>
      </c>
      <c r="E5" t="s">
        <v>13</v>
      </c>
      <c r="F5" s="9">
        <v>454.58</v>
      </c>
      <c r="G5" s="9">
        <v>454.58</v>
      </c>
    </row>
    <row r="6" spans="1:7" x14ac:dyDescent="0.25">
      <c r="A6">
        <v>4</v>
      </c>
      <c r="B6">
        <v>11374271050</v>
      </c>
      <c r="C6" t="s">
        <v>14</v>
      </c>
      <c r="D6">
        <v>40.74</v>
      </c>
      <c r="E6" t="s">
        <v>9</v>
      </c>
      <c r="F6" s="9">
        <v>1.24</v>
      </c>
      <c r="G6" s="9">
        <v>50.52</v>
      </c>
    </row>
    <row r="7" spans="1:7" x14ac:dyDescent="0.25">
      <c r="A7">
        <v>5</v>
      </c>
      <c r="B7">
        <v>12506071002</v>
      </c>
      <c r="C7" t="s">
        <v>15</v>
      </c>
      <c r="D7">
        <v>22</v>
      </c>
      <c r="E7" t="s">
        <v>13</v>
      </c>
      <c r="F7" s="9">
        <v>4.66</v>
      </c>
      <c r="G7" s="9">
        <v>102.52</v>
      </c>
    </row>
    <row r="8" spans="1:7" x14ac:dyDescent="0.25">
      <c r="A8">
        <v>6</v>
      </c>
      <c r="B8">
        <v>13474201001</v>
      </c>
      <c r="C8" t="s">
        <v>31</v>
      </c>
      <c r="D8">
        <v>1</v>
      </c>
      <c r="E8" t="s">
        <v>13</v>
      </c>
      <c r="F8" s="9">
        <v>143.13</v>
      </c>
      <c r="G8" s="9">
        <v>143.13</v>
      </c>
    </row>
    <row r="9" spans="1:7" x14ac:dyDescent="0.25">
      <c r="A9">
        <v>7</v>
      </c>
      <c r="B9">
        <v>12392431001</v>
      </c>
      <c r="C9" t="s">
        <v>16</v>
      </c>
      <c r="D9">
        <v>8.64</v>
      </c>
      <c r="E9" t="s">
        <v>9</v>
      </c>
      <c r="F9" s="9">
        <v>10.35</v>
      </c>
      <c r="G9" s="9">
        <v>89.42</v>
      </c>
    </row>
    <row r="10" spans="1:7" x14ac:dyDescent="0.25">
      <c r="A10">
        <v>8</v>
      </c>
      <c r="B10">
        <v>13280041004</v>
      </c>
      <c r="C10" t="s">
        <v>17</v>
      </c>
      <c r="D10">
        <v>5</v>
      </c>
      <c r="E10" t="s">
        <v>13</v>
      </c>
      <c r="F10" s="9">
        <v>128.76</v>
      </c>
      <c r="G10" s="9">
        <v>643.9</v>
      </c>
    </row>
    <row r="11" spans="1:7" x14ac:dyDescent="0.25">
      <c r="A11">
        <v>9</v>
      </c>
      <c r="B11">
        <v>13280191001</v>
      </c>
      <c r="C11" t="s">
        <v>18</v>
      </c>
      <c r="D11">
        <v>1</v>
      </c>
      <c r="E11" t="s">
        <v>13</v>
      </c>
      <c r="F11" s="9">
        <v>76.48</v>
      </c>
      <c r="G11" s="9">
        <v>76.48</v>
      </c>
    </row>
    <row r="12" spans="1:7" x14ac:dyDescent="0.25">
      <c r="A12">
        <v>10</v>
      </c>
      <c r="B12">
        <v>13280241001</v>
      </c>
      <c r="C12" t="s">
        <v>19</v>
      </c>
      <c r="D12">
        <v>1</v>
      </c>
      <c r="E12" t="s">
        <v>13</v>
      </c>
      <c r="F12" s="9">
        <v>513.73</v>
      </c>
      <c r="G12" s="9">
        <v>513.73</v>
      </c>
    </row>
    <row r="13" spans="1:7" x14ac:dyDescent="0.25">
      <c r="A13">
        <v>11</v>
      </c>
      <c r="B13">
        <v>12179041001</v>
      </c>
      <c r="C13" t="s">
        <v>20</v>
      </c>
      <c r="D13">
        <v>139.02000000000001</v>
      </c>
      <c r="E13" t="s">
        <v>9</v>
      </c>
      <c r="F13" s="9">
        <v>1.4</v>
      </c>
      <c r="G13" s="9">
        <v>194.63</v>
      </c>
    </row>
    <row r="14" spans="1:7" x14ac:dyDescent="0.25">
      <c r="A14">
        <v>12</v>
      </c>
      <c r="B14">
        <v>12563741003</v>
      </c>
      <c r="C14" t="s">
        <v>21</v>
      </c>
      <c r="D14">
        <v>25.92</v>
      </c>
      <c r="E14" t="s">
        <v>22</v>
      </c>
      <c r="F14" s="9">
        <v>5.18</v>
      </c>
      <c r="G14" s="9">
        <v>134.27000000000001</v>
      </c>
    </row>
    <row r="15" spans="1:7" x14ac:dyDescent="0.25">
      <c r="A15">
        <v>13</v>
      </c>
      <c r="B15">
        <v>13992761001</v>
      </c>
      <c r="C15" t="s">
        <v>23</v>
      </c>
      <c r="D15">
        <v>11</v>
      </c>
      <c r="E15" t="s">
        <v>13</v>
      </c>
      <c r="F15" s="9">
        <v>33.85</v>
      </c>
      <c r="G15" s="9">
        <v>372.35</v>
      </c>
    </row>
    <row r="16" spans="1:7" x14ac:dyDescent="0.25">
      <c r="A16">
        <v>14</v>
      </c>
      <c r="B16">
        <v>12278491001</v>
      </c>
      <c r="C16" t="s">
        <v>24</v>
      </c>
      <c r="D16">
        <v>12</v>
      </c>
      <c r="E16" t="s">
        <v>13</v>
      </c>
      <c r="F16" s="9">
        <v>1.86</v>
      </c>
      <c r="G16" s="9">
        <v>22.32</v>
      </c>
    </row>
    <row r="17" spans="1:7" x14ac:dyDescent="0.25">
      <c r="A17">
        <v>15</v>
      </c>
      <c r="B17">
        <v>12392031001</v>
      </c>
      <c r="C17" t="s">
        <v>25</v>
      </c>
      <c r="D17">
        <v>35</v>
      </c>
      <c r="E17" t="s">
        <v>13</v>
      </c>
      <c r="F17" s="9">
        <v>0.19</v>
      </c>
      <c r="G17" s="9">
        <v>6.65</v>
      </c>
    </row>
    <row r="18" spans="1:7" s="2" customFormat="1" x14ac:dyDescent="0.25">
      <c r="A18" s="13">
        <v>1</v>
      </c>
      <c r="B18" s="13">
        <v>11315851025</v>
      </c>
      <c r="C18" s="13" t="s">
        <v>32</v>
      </c>
      <c r="D18" s="13">
        <v>2.4</v>
      </c>
      <c r="E18" s="13" t="s">
        <v>9</v>
      </c>
      <c r="F18" s="14">
        <v>13.44</v>
      </c>
      <c r="G18" s="14">
        <v>32.26</v>
      </c>
    </row>
    <row r="20" spans="1:7" x14ac:dyDescent="0.25">
      <c r="A20" s="2"/>
      <c r="B20" s="2"/>
      <c r="C20" s="2"/>
      <c r="D20" s="2" t="s">
        <v>26</v>
      </c>
      <c r="E20" s="2"/>
      <c r="F20" s="10"/>
      <c r="G20" s="10">
        <f>SUM(G2:G17)</f>
        <v>5230.3599999999997</v>
      </c>
    </row>
    <row r="21" spans="1:7" x14ac:dyDescent="0.25">
      <c r="D21" s="2"/>
      <c r="G21" s="10"/>
    </row>
    <row r="22" spans="1:7" x14ac:dyDescent="0.25">
      <c r="B22" s="3" t="s">
        <v>28</v>
      </c>
      <c r="C22" s="4"/>
    </row>
  </sheetData>
  <pageMargins left="0.7" right="0.7" top="0.75" bottom="0.75" header="0.3" footer="0.3"/>
  <pageSetup paperSize="9" orientation="portrait" r:id="rId1"/>
  <headerFooter>
    <oddHeader>&amp;R&amp;B &amp;L&amp;8TechCON - Špecifikácia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4</vt:i4>
      </vt:variant>
      <vt:variant>
        <vt:lpstr>Pomenované rozsahy</vt:lpstr>
      </vt:variant>
      <vt:variant>
        <vt:i4>1</vt:i4>
      </vt:variant>
    </vt:vector>
  </HeadingPairs>
  <TitlesOfParts>
    <vt:vector size="5" baseType="lpstr">
      <vt:lpstr>Sumár</vt:lpstr>
      <vt:lpstr>TČ</vt:lpstr>
      <vt:lpstr>Napojenie</vt:lpstr>
      <vt:lpstr>Podlahové vykurovanie</vt:lpstr>
      <vt:lpstr>Sumár!Oblasť_tlače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 Mečiar</dc:creator>
  <cp:lastModifiedBy>Ivor Mečiar</cp:lastModifiedBy>
  <cp:lastPrinted>2026-03-23T09:10:35Z</cp:lastPrinted>
  <dcterms:created xsi:type="dcterms:W3CDTF">2026-03-20T12:19:47Z</dcterms:created>
  <dcterms:modified xsi:type="dcterms:W3CDTF">2026-03-23T09:10:40Z</dcterms:modified>
</cp:coreProperties>
</file>