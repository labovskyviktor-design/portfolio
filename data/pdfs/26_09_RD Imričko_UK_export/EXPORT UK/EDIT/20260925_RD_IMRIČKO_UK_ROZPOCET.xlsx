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42191\Documents\PODNIKANIE\PROJEKTY\2026\26_09_RD_Trebišov\navrh\EXPORT UK\EDIT\"/>
    </mc:Choice>
  </mc:AlternateContent>
  <xr:revisionPtr revIDLastSave="0" documentId="13_ncr:1_{81452741-6502-4D9A-90C2-8695229E611A}" xr6:coauthVersionLast="47" xr6:coauthVersionMax="47" xr10:uidLastSave="{00000000-0000-0000-0000-000000000000}"/>
  <bookViews>
    <workbookView xWindow="-120" yWindow="-120" windowWidth="29040" windowHeight="15720" xr2:uid="{F960933F-3845-4BA6-8163-AD7543ADD55D}"/>
  </bookViews>
  <sheets>
    <sheet name="Viessmann" sheetId="4" r:id="rId1"/>
    <sheet name="Vykurovacie telesá" sheetId="3" r:id="rId2"/>
    <sheet name="Napojenie vykurovacích telies" sheetId="2" r:id="rId3"/>
    <sheet name="Podlahové vykurovanie"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3" l="1"/>
  <c r="G3" i="2"/>
  <c r="G6" i="2" s="1"/>
  <c r="G11" i="4"/>
  <c r="G12" i="4"/>
  <c r="G13" i="4"/>
  <c r="G14" i="4"/>
  <c r="G15" i="4"/>
  <c r="G16" i="4"/>
  <c r="G17" i="4"/>
  <c r="G18" i="4"/>
  <c r="G3" i="4"/>
  <c r="G4" i="4"/>
  <c r="G5" i="4"/>
  <c r="G6" i="4"/>
  <c r="G7" i="4"/>
  <c r="G8" i="4"/>
  <c r="G9" i="4"/>
  <c r="G10" i="4"/>
  <c r="G2" i="4"/>
  <c r="G20" i="4" s="1"/>
  <c r="G19" i="1"/>
  <c r="G21" i="4" l="1"/>
  <c r="G20" i="1"/>
  <c r="G7" i="2"/>
  <c r="G6" i="3"/>
</calcChain>
</file>

<file path=xl/sharedStrings.xml><?xml version="1.0" encoding="utf-8"?>
<sst xmlns="http://schemas.openxmlformats.org/spreadsheetml/2006/main" count="144" uniqueCount="64">
  <si>
    <t>č.</t>
  </si>
  <si>
    <t>Artikel</t>
  </si>
  <si>
    <t>Názov</t>
  </si>
  <si>
    <t>Množstvo</t>
  </si>
  <si>
    <t>Jednotka</t>
  </si>
  <si>
    <t>Jednotková
cena
(bez DPH)</t>
  </si>
  <si>
    <t>Celková
cena
(bez DPH)</t>
  </si>
  <si>
    <t>REHAU      (Posledná aktualizácia: 03.2026)</t>
  </si>
  <si>
    <t>11361401500, 11361401240, 11361401120</t>
  </si>
  <si>
    <t>Rúrka RAUTHERM S 17x2,0 ( 120 m, 240 m, 500 m )</t>
  </si>
  <si>
    <t>m</t>
  </si>
  <si>
    <t>Systémová doska VARIONOVA bez kročajovej izolácie ( 17,92 m^2 )</t>
  </si>
  <si>
    <t>m^2</t>
  </si>
  <si>
    <t>Rozdeľovač HKVD SX-AG 15</t>
  </si>
  <si>
    <t>ks</t>
  </si>
  <si>
    <t>Ochranná rúrka pre rúrku 16x2,0/17x2,0 ( 50 m )</t>
  </si>
  <si>
    <t>Pripojovací skrutkový spoj 17 x 2,0</t>
  </si>
  <si>
    <t>Set guľových kohútov pre HKV-D SX (priame) 1" ( 1 pár )</t>
  </si>
  <si>
    <t>set</t>
  </si>
  <si>
    <t>Skrinka rozdeľovača AP 130/1205 14-15 okr.</t>
  </si>
  <si>
    <t>Dilatačný profil 1,2 m ( 24 m )</t>
  </si>
  <si>
    <t>NEA SMART 2.0 HBW, priestorový regulátor so snímačom teploty a vlhkosti káblový, biely</t>
  </si>
  <si>
    <t>NEA SMART 2.0 transformátor 24 V</t>
  </si>
  <si>
    <t>NEA SMART 2.0 Základňa 24 V</t>
  </si>
  <si>
    <t>Okrajový izolačný pás 8/150mm ( 25 m )</t>
  </si>
  <si>
    <t>Plastifikátor P ( 10 kg )</t>
  </si>
  <si>
    <t>kg</t>
  </si>
  <si>
    <t>Servopohon UNI  (24 V)</t>
  </si>
  <si>
    <t>Spojovací pás Varionova 0,04 ks na m2 dosky</t>
  </si>
  <si>
    <t xml:space="preserve">Upevňovací mostík </t>
  </si>
  <si>
    <t>Cena použitých výrobkov</t>
  </si>
  <si>
    <t>Celková cena</t>
  </si>
  <si>
    <t>Poznámka:</t>
  </si>
  <si>
    <t>Vodiaci oblúk 90°, 16/17</t>
  </si>
  <si>
    <t>Vodiaci oblúk na vedenie rúrok Rautherm S a Rautherm Speed 16/17mm</t>
  </si>
  <si>
    <t>KORADO      (Posledná aktualizácia: 03.2025)</t>
  </si>
  <si>
    <t>KLC-122045-00-10 10</t>
  </si>
  <si>
    <t>KLC-122075-00-10 10</t>
  </si>
  <si>
    <t>---</t>
  </si>
  <si>
    <t>j.</t>
  </si>
  <si>
    <t>Elektrické rebríkové radiátory KDO-E (White RAL 9016)</t>
  </si>
  <si>
    <t>VIESSMANN Vitocal 200-A ie B12 230 V123 IDU Controller, KHF s magnetom</t>
  </si>
  <si>
    <t>VIESSMANN Konzola pre montáž na podlahu ODU D=530</t>
  </si>
  <si>
    <t>Termostatický ventil proti zamrznutiu 1"</t>
  </si>
  <si>
    <t>Sada guľ. kohútov pre plnenie a odvzduš.</t>
  </si>
  <si>
    <t>VIESSMANN Prepojovacie CAN vedenie IDU-ODU 15 m</t>
  </si>
  <si>
    <t>Membránová exp. nádoba H35 biela</t>
  </si>
  <si>
    <t>Ventil s klobúčikom R 3/4</t>
  </si>
  <si>
    <t>3-cestný prepínací ventil</t>
  </si>
  <si>
    <t>Vitocell 100-V CVWC 300L</t>
  </si>
  <si>
    <t>Ponorný snímač teploty (NTC 10 kOhm)</t>
  </si>
  <si>
    <t>Vitocel 100-E typ MSCA objem 50 l</t>
  </si>
  <si>
    <t>Odkalovač Vitotrap s izoláciou 1 1/4"</t>
  </si>
  <si>
    <t>Priama čerpadlová skupina DN32 GDA211</t>
  </si>
  <si>
    <t>Snímač vlhkosti 230 V</t>
  </si>
  <si>
    <t>VIESSMANN Vitotrol 100-EH pre Vitocal</t>
  </si>
  <si>
    <t>UDP Vitocal 1xx/2xx-S/A bez dopoj. CHO cena zodpovedá cca 4,0hod práce technika</t>
  </si>
  <si>
    <t>Obhliadka pred UDP *</t>
  </si>
  <si>
    <t>Tento výkaz materiálu je spracovaný ako projektový podklad pre určenie predpokladaných investičných nákladov. Nejde o záväznú cenovú ponuku na predaj alebo dodávku tovaru.
Ceny sú stanovené na základe oficiálneho cenníka výrobcov platného k dátumu spracovania. Vzhľadom na aktuálnu volatilitu trhu projektant nezodpovedá za platnosť cien v čase nákupu materiálu.
Uvedené sumy sú cenníkové. Finálna cena závisí od obchodnej politiky vybraného dodávateľa a ním poskytnutých obchodných zliav.
V prípade výpadku v dodávateľskom reťazci alebo ukončenia výroby konkrétneho modelu si projektant vyhradzuje právo na zmenu špecifikácie za ekvivalentný produkt rovnakej alebo vyššej technickej úrovne.
Projektant nezodpovedá za škody vzniknuté neodbornou montážou alebo zámenou materiálu za iný typ bez predchádzajúcej konzultácie s autorom projektu.
Investor má plné právo na výber realizačnej firmy a dodávateľa materiálu. Projektant nie je viazaný na žiadneho konkrétneho predajcu. V prípade, že si investor zvolí iného dodávateľa alebo alternatívne komponenty, projektant nezodpovedá za kompatibilitu systému, deklarované parametre ani za prípadné dodatočné náklady.
Špecifikáciu koncových prvkov, vrátane všetkých zariadovacích predmetov a súvisiacich komponentov, určuje investor v súlade so svojimi požiadavkami a zámerom stavby.</t>
  </si>
  <si>
    <t>Rúrka RAUTITAN stabil (tyč 5m) 40x6.0 ( 25 m )</t>
  </si>
  <si>
    <t>* Na uvedenie do prevádzky zariadení Viessmann s vyššou technickou
náročnosťou (kotle stredných a veľkých výkonov, tepelné čerpadlá, a kaskády
kotlov), je z našej strany osvedčené a odporúčané, aby servisný technik
Viessmann bol prizvaný na konzultáciu a celkovú obhliadku systému pred
UDP. Takáto návšteva technika trvajúca cca jednu hodinu dokáže odhaliť
prípadné drobné nedostatky (chýbajúce snímače, chybné hydraulické alebo
elektrické prepojenia a pod.) a tak predísť neúspešnému UDP. Tým sa určite
šetria náklady objednávateľovi a je možné lepšie plánovanie práce všetkych
technikov podieľajúcich sa na uvedení kotolne do prevádzky.</t>
  </si>
  <si>
    <t>Tento rozpočet je spracovaný ako projektový podklad pre určenie predpokladaných investičných nákladov. Nejde o záväznú cenovú ponuku na predaj alebo dodávku tovaru. Ceny montážnych prác uvedené v tomto rozpočte sú orientačné (informatívne) a boli vygenerované z cenníkových databáz rozpočtového softvéru. Skutočná finálna cena realizácie sa môže líšiť v závislosti od vybraného dodávateľa stavby, aktuálnych trhových cien materiálov a konkrétnych zmluvných podmienok montážnej firmy. Rozpočet slúži ako orientačný podklad pre investora a financujúcu banku.
Ceny sú stanovené na základe oficiálneho cenníka výrobcov platného k dátumu spracovania. Vzhľadom na aktuálnu volatilitu trhu projektant nezodpovedá za platnosť cien v čase nákupu materiálu.
Uvedené sumy sú cenníkové. Finálna cena závisí od obchodnej politiky vybraného dodávateľa a ním poskytnutých obchodných zliav.
V prípade výpadku v dodávateľskom reťazci alebo ukončenia výroby konkrétneho modelu si projektant vyhradzuje právo na zmenu špecifikácie za ekvivalentný produkt rovnakej alebo vyššej technickej úrovne.
Projektant nezodpovedá za škody vzniknuté neodbornou montážou alebo zámenou materiálu za iný typ bez predchádzajúcej konzultácie s autorom projektu.
Investor má plné právo na výber realizačnej firmy a dodávateľa materiálu. Projektant nie je viazaný na žiadneho konkrétneho predajcu. V prípade, že si investor zvolí iného dodávateľa alebo alternatívne komponenty, projektant nezodpovedá za kompatibilitu systému, deklarované parametre ani za prípadné dodatočné náklady.
Špecifikáciu koncových prvkov, vrátane všetkých zariadovacích predmetov a súvisiacich komponentov, určuje investor v súlade so svojimi požiadavkami a zámerom stavby.</t>
  </si>
  <si>
    <t xml:space="preserve">Vypracoval: </t>
  </si>
  <si>
    <t>Ing. Viktor Labovský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</si>
</sst>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quot;€&quot;"/>
  </numFmts>
  <fonts count="4" x14ac:knownFonts="1">
    <font>
      <sz val="11"/>
      <color theme="1"/>
      <name val="Aptos Narrow"/>
      <family val="2"/>
      <charset val="238"/>
      <scheme val="minor"/>
    </font>
    <font>
      <b/>
      <sz val="11"/>
      <color theme="1"/>
      <name val="Aptos Narrow"/>
      <family val="2"/>
      <scheme val="minor"/>
    </font>
    <font>
      <sz val="11"/>
      <color indexed="13"/>
      <name val="Aptos Narrow"/>
      <family val="2"/>
      <charset val="238"/>
      <scheme val="minor"/>
    </font>
    <font>
      <sz val="11"/>
      <color theme="1"/>
      <name val="Aptos Narrow"/>
      <family val="2"/>
      <scheme val="minor"/>
    </font>
  </fonts>
  <fills count="3">
    <fill>
      <patternFill patternType="none"/>
    </fill>
    <fill>
      <patternFill patternType="gray125"/>
    </fill>
    <fill>
      <patternFill patternType="solid">
        <fgColor indexed="1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vertical="top"/>
    </xf>
    <xf numFmtId="0" fontId="0" fillId="0" borderId="0" xfId="0" applyAlignment="1">
      <alignment vertical="top"/>
    </xf>
    <xf numFmtId="0" fontId="1" fillId="0" borderId="1" xfId="0" applyFont="1" applyBorder="1"/>
    <xf numFmtId="0" fontId="1" fillId="0" borderId="2" xfId="0" applyFont="1" applyBorder="1"/>
    <xf numFmtId="164" fontId="1" fillId="0" borderId="2" xfId="0" applyNumberFormat="1" applyFont="1" applyBorder="1" applyAlignment="1">
      <alignment wrapText="1"/>
    </xf>
    <xf numFmtId="164" fontId="1" fillId="0" borderId="3" xfId="0" applyNumberFormat="1" applyFont="1" applyBorder="1" applyAlignment="1">
      <alignment wrapText="1"/>
    </xf>
    <xf numFmtId="164" fontId="0" fillId="0" borderId="0" xfId="0" applyNumberFormat="1"/>
    <xf numFmtId="164" fontId="1" fillId="0" borderId="0" xfId="0" applyNumberFormat="1" applyFont="1"/>
    <xf numFmtId="0" fontId="2" fillId="2" borderId="0" xfId="0" applyFont="1" applyFill="1"/>
    <xf numFmtId="164" fontId="2" fillId="2" borderId="0" xfId="0" applyNumberFormat="1" applyFont="1" applyFill="1"/>
    <xf numFmtId="0" fontId="3" fillId="0" borderId="0" xfId="0" applyFont="1" applyAlignment="1">
      <alignment wrapText="1"/>
    </xf>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49010-2086-42C0-BBB1-1C26385E67E2}">
  <sheetPr>
    <pageSetUpPr fitToPage="1"/>
  </sheetPr>
  <dimension ref="A1:G30"/>
  <sheetViews>
    <sheetView tabSelected="1" topLeftCell="A24" zoomScale="70" zoomScaleNormal="70" workbookViewId="0">
      <selection activeCell="C33" sqref="C33"/>
    </sheetView>
  </sheetViews>
  <sheetFormatPr defaultRowHeight="15" x14ac:dyDescent="0.25"/>
  <cols>
    <col min="1" max="1" width="3" bestFit="1" customWidth="1"/>
    <col min="2" max="2" width="10.5703125" bestFit="1" customWidth="1"/>
    <col min="3" max="3" width="85.7109375" bestFit="1" customWidth="1"/>
    <col min="4" max="4" width="23.85546875" bestFit="1" customWidth="1"/>
    <col min="5" max="5" width="9" bestFit="1" customWidth="1"/>
    <col min="6" max="6" width="9.42578125" style="8" bestFit="1" customWidth="1"/>
    <col min="7" max="7" width="17.42578125" style="8" customWidth="1"/>
  </cols>
  <sheetData>
    <row r="1" spans="1:7" ht="75" x14ac:dyDescent="0.25">
      <c r="A1" s="4" t="s">
        <v>0</v>
      </c>
      <c r="B1" s="5" t="s">
        <v>1</v>
      </c>
      <c r="C1" s="5" t="s">
        <v>2</v>
      </c>
      <c r="D1" s="5" t="s">
        <v>3</v>
      </c>
      <c r="E1" s="5" t="s">
        <v>4</v>
      </c>
      <c r="F1" s="6" t="s">
        <v>5</v>
      </c>
      <c r="G1" s="7" t="s">
        <v>6</v>
      </c>
    </row>
    <row r="2" spans="1:7" x14ac:dyDescent="0.25">
      <c r="A2">
        <v>1</v>
      </c>
      <c r="B2" t="s">
        <v>38</v>
      </c>
      <c r="C2" t="s">
        <v>41</v>
      </c>
      <c r="D2">
        <v>1</v>
      </c>
      <c r="E2" t="s">
        <v>39</v>
      </c>
      <c r="F2" s="8">
        <v>5641</v>
      </c>
      <c r="G2" s="8">
        <f t="shared" ref="G2:G10" si="0">F2*D2</f>
        <v>5641</v>
      </c>
    </row>
    <row r="3" spans="1:7" x14ac:dyDescent="0.25">
      <c r="A3">
        <v>2</v>
      </c>
      <c r="B3" t="s">
        <v>38</v>
      </c>
      <c r="C3" s="13" t="s">
        <v>42</v>
      </c>
      <c r="D3" s="1">
        <v>1</v>
      </c>
      <c r="E3" t="s">
        <v>39</v>
      </c>
      <c r="F3" s="8">
        <v>200</v>
      </c>
      <c r="G3" s="8">
        <f t="shared" si="0"/>
        <v>200</v>
      </c>
    </row>
    <row r="4" spans="1:7" s="1" customFormat="1" x14ac:dyDescent="0.25">
      <c r="A4">
        <v>3</v>
      </c>
      <c r="B4" t="s">
        <v>38</v>
      </c>
      <c r="C4" t="s">
        <v>43</v>
      </c>
      <c r="D4">
        <v>1</v>
      </c>
      <c r="E4" t="s">
        <v>39</v>
      </c>
      <c r="F4" s="8">
        <v>132</v>
      </c>
      <c r="G4" s="8">
        <f t="shared" si="0"/>
        <v>132</v>
      </c>
    </row>
    <row r="5" spans="1:7" x14ac:dyDescent="0.25">
      <c r="A5">
        <v>4</v>
      </c>
      <c r="B5" t="s">
        <v>38</v>
      </c>
      <c r="C5" s="3" t="s">
        <v>44</v>
      </c>
      <c r="D5">
        <v>1</v>
      </c>
      <c r="E5" t="s">
        <v>39</v>
      </c>
      <c r="F5" s="8">
        <v>77</v>
      </c>
      <c r="G5" s="8">
        <f t="shared" si="0"/>
        <v>77</v>
      </c>
    </row>
    <row r="6" spans="1:7" x14ac:dyDescent="0.25">
      <c r="A6">
        <v>5</v>
      </c>
      <c r="B6" t="s">
        <v>38</v>
      </c>
      <c r="C6" t="s">
        <v>45</v>
      </c>
      <c r="D6">
        <v>1</v>
      </c>
      <c r="E6" t="s">
        <v>39</v>
      </c>
      <c r="F6" s="8">
        <v>105</v>
      </c>
      <c r="G6" s="8">
        <f t="shared" si="0"/>
        <v>105</v>
      </c>
    </row>
    <row r="7" spans="1:7" x14ac:dyDescent="0.25">
      <c r="A7">
        <v>6</v>
      </c>
      <c r="B7" t="s">
        <v>38</v>
      </c>
      <c r="C7" t="s">
        <v>46</v>
      </c>
      <c r="D7">
        <v>1</v>
      </c>
      <c r="E7" t="s">
        <v>39</v>
      </c>
      <c r="F7" s="8">
        <v>65</v>
      </c>
      <c r="G7" s="8">
        <f t="shared" si="0"/>
        <v>65</v>
      </c>
    </row>
    <row r="8" spans="1:7" x14ac:dyDescent="0.25">
      <c r="A8">
        <v>7</v>
      </c>
      <c r="B8" t="s">
        <v>38</v>
      </c>
      <c r="C8" t="s">
        <v>47</v>
      </c>
      <c r="D8">
        <v>1</v>
      </c>
      <c r="E8" t="s">
        <v>39</v>
      </c>
      <c r="F8" s="8">
        <v>40</v>
      </c>
      <c r="G8" s="8">
        <f t="shared" si="0"/>
        <v>40</v>
      </c>
    </row>
    <row r="9" spans="1:7" x14ac:dyDescent="0.25">
      <c r="A9">
        <v>8</v>
      </c>
      <c r="B9" t="s">
        <v>38</v>
      </c>
      <c r="C9" t="s">
        <v>48</v>
      </c>
      <c r="D9">
        <v>1</v>
      </c>
      <c r="E9" t="s">
        <v>39</v>
      </c>
      <c r="F9" s="8">
        <v>330</v>
      </c>
      <c r="G9" s="8">
        <f t="shared" si="0"/>
        <v>330</v>
      </c>
    </row>
    <row r="10" spans="1:7" x14ac:dyDescent="0.25">
      <c r="A10">
        <v>9</v>
      </c>
      <c r="B10" t="s">
        <v>38</v>
      </c>
      <c r="C10" t="s">
        <v>49</v>
      </c>
      <c r="D10">
        <v>1</v>
      </c>
      <c r="E10" t="s">
        <v>39</v>
      </c>
      <c r="F10" s="8">
        <v>1950</v>
      </c>
      <c r="G10" s="8">
        <f t="shared" si="0"/>
        <v>1950</v>
      </c>
    </row>
    <row r="11" spans="1:7" x14ac:dyDescent="0.25">
      <c r="A11">
        <v>10</v>
      </c>
      <c r="C11" t="s">
        <v>50</v>
      </c>
      <c r="D11">
        <v>2</v>
      </c>
      <c r="E11" t="s">
        <v>39</v>
      </c>
      <c r="F11" s="8">
        <v>83</v>
      </c>
      <c r="G11" s="8">
        <f t="shared" ref="G11:G18" si="1">F11*D11</f>
        <v>166</v>
      </c>
    </row>
    <row r="12" spans="1:7" x14ac:dyDescent="0.25">
      <c r="A12">
        <v>11</v>
      </c>
      <c r="C12" t="s">
        <v>51</v>
      </c>
      <c r="D12">
        <v>1</v>
      </c>
      <c r="E12" t="s">
        <v>39</v>
      </c>
      <c r="F12" s="8">
        <v>617</v>
      </c>
      <c r="G12" s="8">
        <f t="shared" si="1"/>
        <v>617</v>
      </c>
    </row>
    <row r="13" spans="1:7" x14ac:dyDescent="0.25">
      <c r="A13">
        <v>12</v>
      </c>
      <c r="C13" t="s">
        <v>52</v>
      </c>
      <c r="D13">
        <v>1</v>
      </c>
      <c r="E13" t="s">
        <v>39</v>
      </c>
      <c r="F13" s="8">
        <v>320</v>
      </c>
      <c r="G13" s="8">
        <f t="shared" si="1"/>
        <v>320</v>
      </c>
    </row>
    <row r="14" spans="1:7" x14ac:dyDescent="0.25">
      <c r="A14">
        <v>13</v>
      </c>
      <c r="C14" t="s">
        <v>53</v>
      </c>
      <c r="D14">
        <v>1</v>
      </c>
      <c r="E14" t="s">
        <v>39</v>
      </c>
      <c r="F14" s="8">
        <v>463</v>
      </c>
      <c r="G14" s="8">
        <f t="shared" si="1"/>
        <v>463</v>
      </c>
    </row>
    <row r="15" spans="1:7" x14ac:dyDescent="0.25">
      <c r="A15">
        <v>14</v>
      </c>
      <c r="C15" t="s">
        <v>54</v>
      </c>
      <c r="D15">
        <v>1</v>
      </c>
      <c r="E15" t="s">
        <v>39</v>
      </c>
      <c r="F15" s="8">
        <v>661</v>
      </c>
      <c r="G15" s="8">
        <f t="shared" si="1"/>
        <v>661</v>
      </c>
    </row>
    <row r="16" spans="1:7" x14ac:dyDescent="0.25">
      <c r="A16">
        <v>15</v>
      </c>
      <c r="C16" t="s">
        <v>55</v>
      </c>
      <c r="D16">
        <v>1</v>
      </c>
      <c r="E16" t="s">
        <v>39</v>
      </c>
      <c r="F16" s="8">
        <v>185</v>
      </c>
      <c r="G16" s="8">
        <f t="shared" si="1"/>
        <v>185</v>
      </c>
    </row>
    <row r="17" spans="1:7" x14ac:dyDescent="0.25">
      <c r="A17">
        <v>16</v>
      </c>
      <c r="C17" t="s">
        <v>57</v>
      </c>
      <c r="D17">
        <v>1</v>
      </c>
      <c r="E17" t="s">
        <v>39</v>
      </c>
      <c r="F17" s="8">
        <v>56</v>
      </c>
      <c r="G17" s="8">
        <f t="shared" si="1"/>
        <v>56</v>
      </c>
    </row>
    <row r="18" spans="1:7" x14ac:dyDescent="0.25">
      <c r="A18">
        <v>17</v>
      </c>
      <c r="C18" t="s">
        <v>56</v>
      </c>
      <c r="D18">
        <v>1</v>
      </c>
      <c r="E18" t="s">
        <v>39</v>
      </c>
      <c r="F18" s="8">
        <v>224</v>
      </c>
      <c r="G18" s="8">
        <f t="shared" si="1"/>
        <v>224</v>
      </c>
    </row>
    <row r="20" spans="1:7" x14ac:dyDescent="0.25">
      <c r="A20" s="1"/>
      <c r="B20" s="1"/>
      <c r="C20" s="1"/>
      <c r="D20" s="1" t="s">
        <v>30</v>
      </c>
      <c r="F20" s="9"/>
      <c r="G20" s="9">
        <f>SUM(G2:G18)</f>
        <v>11232</v>
      </c>
    </row>
    <row r="21" spans="1:7" x14ac:dyDescent="0.25">
      <c r="D21" s="1" t="s">
        <v>31</v>
      </c>
      <c r="G21" s="9">
        <f>'Podlahové vykurovanie'!G19+'Napojenie vykurovacích telies'!G6+'Vykurovacie telesá'!G5+Viessmann!G20</f>
        <v>19680.063399999999</v>
      </c>
    </row>
    <row r="25" spans="1:7" x14ac:dyDescent="0.25">
      <c r="B25" s="2" t="s">
        <v>32</v>
      </c>
    </row>
    <row r="26" spans="1:7" ht="409.5" x14ac:dyDescent="0.25">
      <c r="C26" s="12" t="s">
        <v>61</v>
      </c>
    </row>
    <row r="28" spans="1:7" ht="135" x14ac:dyDescent="0.25">
      <c r="C28" s="14" t="s">
        <v>60</v>
      </c>
    </row>
    <row r="30" spans="1:7" x14ac:dyDescent="0.25">
      <c r="B30" t="s">
        <v>62</v>
      </c>
      <c r="C30" t="s">
        <v>63</v>
      </c>
    </row>
  </sheetData>
  <pageMargins left="0.7" right="0.7" top="0.75" bottom="0.75" header="0.3" footer="0.3"/>
  <pageSetup paperSize="9" scale="55" orientation="portrait" r:id="rId1"/>
  <headerFooter>
    <oddHeader>&amp;R&amp;b &amp;L&amp;8TechCON - Špecifikácia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8EF15-046F-439F-9FC7-E47623065B60}">
  <sheetPr>
    <pageSetUpPr fitToPage="1"/>
  </sheetPr>
  <dimension ref="A1:G9"/>
  <sheetViews>
    <sheetView topLeftCell="A7" workbookViewId="0">
      <selection activeCell="B8" sqref="B8:C9"/>
    </sheetView>
  </sheetViews>
  <sheetFormatPr defaultRowHeight="15" x14ac:dyDescent="0.25"/>
  <cols>
    <col min="1" max="1" width="2.5703125" bestFit="1" customWidth="1"/>
    <col min="2" max="2" width="19" bestFit="1" customWidth="1"/>
    <col min="3" max="3" width="75.7109375" bestFit="1" customWidth="1"/>
    <col min="4" max="4" width="23.85546875" bestFit="1" customWidth="1"/>
    <col min="5" max="5" width="9" bestFit="1" customWidth="1"/>
    <col min="6" max="6" width="9.140625" style="8"/>
    <col min="7" max="7" width="10.42578125" style="8" bestFit="1" customWidth="1"/>
  </cols>
  <sheetData>
    <row r="1" spans="1:7" ht="75" x14ac:dyDescent="0.25">
      <c r="A1" s="4" t="s">
        <v>0</v>
      </c>
      <c r="B1" s="5" t="s">
        <v>1</v>
      </c>
      <c r="C1" s="5" t="s">
        <v>2</v>
      </c>
      <c r="D1" s="5" t="s">
        <v>3</v>
      </c>
      <c r="E1" s="5" t="s">
        <v>4</v>
      </c>
      <c r="F1" s="6" t="s">
        <v>5</v>
      </c>
      <c r="G1" s="7" t="s">
        <v>6</v>
      </c>
    </row>
    <row r="2" spans="1:7" x14ac:dyDescent="0.25">
      <c r="A2" s="10"/>
      <c r="B2" s="10"/>
      <c r="C2" s="10" t="s">
        <v>35</v>
      </c>
      <c r="D2" s="10"/>
      <c r="E2" s="10"/>
      <c r="F2" s="11"/>
      <c r="G2" s="11"/>
    </row>
    <row r="3" spans="1:7" x14ac:dyDescent="0.25">
      <c r="A3">
        <v>1</v>
      </c>
      <c r="B3" t="s">
        <v>36</v>
      </c>
      <c r="C3" t="s">
        <v>40</v>
      </c>
      <c r="D3">
        <v>1</v>
      </c>
      <c r="E3" t="s">
        <v>14</v>
      </c>
      <c r="F3" s="8">
        <v>159.19999999999999</v>
      </c>
      <c r="G3" s="8">
        <v>159.19999999999999</v>
      </c>
    </row>
    <row r="4" spans="1:7" x14ac:dyDescent="0.25">
      <c r="A4">
        <v>2</v>
      </c>
      <c r="B4" t="s">
        <v>37</v>
      </c>
      <c r="C4" t="s">
        <v>40</v>
      </c>
      <c r="D4">
        <v>1</v>
      </c>
      <c r="E4" t="s">
        <v>14</v>
      </c>
      <c r="F4" s="8">
        <v>159.19999999999999</v>
      </c>
      <c r="G4" s="8">
        <v>159.19999999999999</v>
      </c>
    </row>
    <row r="5" spans="1:7" s="1" customFormat="1" x14ac:dyDescent="0.25">
      <c r="A5" s="13"/>
      <c r="D5" s="1" t="s">
        <v>30</v>
      </c>
      <c r="F5" s="9"/>
      <c r="G5" s="9">
        <f>SUM(G2:G4)</f>
        <v>318.39999999999998</v>
      </c>
    </row>
    <row r="6" spans="1:7" x14ac:dyDescent="0.25">
      <c r="D6" s="1" t="s">
        <v>31</v>
      </c>
      <c r="G6" s="9">
        <f>'Podlahové vykurovanie'!G19+'Napojenie vykurovacích telies'!G6+'Vykurovacie telesá'!G5+Viessmann!G20</f>
        <v>19680.063399999999</v>
      </c>
    </row>
    <row r="7" spans="1:7" ht="405" x14ac:dyDescent="0.25">
      <c r="B7" s="2" t="s">
        <v>32</v>
      </c>
      <c r="C7" s="12" t="s">
        <v>58</v>
      </c>
    </row>
    <row r="9" spans="1:7" x14ac:dyDescent="0.25">
      <c r="B9" t="s">
        <v>62</v>
      </c>
      <c r="C9" t="s">
        <v>63</v>
      </c>
    </row>
  </sheetData>
  <pageMargins left="0.7" right="0.7" top="0.75" bottom="0.75" header="0.3" footer="0.3"/>
  <pageSetup paperSize="9" scale="58" orientation="portrait" r:id="rId1"/>
  <headerFooter>
    <oddHeader>&amp;R&amp;b &amp;L&amp;8TechCON - Špecifikácia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59AEB-07D2-4977-B782-0B45FCF00CEE}">
  <sheetPr>
    <pageSetUpPr fitToPage="1"/>
  </sheetPr>
  <dimension ref="A1:G10"/>
  <sheetViews>
    <sheetView topLeftCell="A8" workbookViewId="0">
      <selection activeCell="B9" sqref="B9:C10"/>
    </sheetView>
  </sheetViews>
  <sheetFormatPr defaultRowHeight="15" x14ac:dyDescent="0.25"/>
  <cols>
    <col min="1" max="1" width="2.5703125" bestFit="1" customWidth="1"/>
    <col min="2" max="2" width="12" bestFit="1" customWidth="1"/>
    <col min="3" max="3" width="75.7109375" bestFit="1" customWidth="1"/>
    <col min="4" max="4" width="23.85546875" bestFit="1" customWidth="1"/>
    <col min="5" max="5" width="9" bestFit="1" customWidth="1"/>
    <col min="6" max="6" width="9.140625" style="8"/>
    <col min="7" max="7" width="10.42578125" style="8" bestFit="1" customWidth="1"/>
  </cols>
  <sheetData>
    <row r="1" spans="1:7" ht="75" x14ac:dyDescent="0.25">
      <c r="A1" s="4" t="s">
        <v>0</v>
      </c>
      <c r="B1" s="5" t="s">
        <v>1</v>
      </c>
      <c r="C1" s="5" t="s">
        <v>2</v>
      </c>
      <c r="D1" s="5" t="s">
        <v>3</v>
      </c>
      <c r="E1" s="5" t="s">
        <v>4</v>
      </c>
      <c r="F1" s="6" t="s">
        <v>5</v>
      </c>
      <c r="G1" s="7" t="s">
        <v>6</v>
      </c>
    </row>
    <row r="2" spans="1:7" x14ac:dyDescent="0.25">
      <c r="A2" s="10"/>
      <c r="B2" s="10"/>
      <c r="C2" s="10" t="s">
        <v>7</v>
      </c>
      <c r="D2" s="10"/>
      <c r="E2" s="10"/>
      <c r="F2" s="11"/>
      <c r="G2" s="11"/>
    </row>
    <row r="3" spans="1:7" x14ac:dyDescent="0.25">
      <c r="A3">
        <v>1</v>
      </c>
      <c r="B3">
        <v>11301511025</v>
      </c>
      <c r="C3" t="s">
        <v>59</v>
      </c>
      <c r="D3">
        <v>10.82</v>
      </c>
      <c r="E3" t="s">
        <v>10</v>
      </c>
      <c r="F3" s="8">
        <v>23.87</v>
      </c>
      <c r="G3" s="8">
        <f>F3*D3</f>
        <v>258.27340000000004</v>
      </c>
    </row>
    <row r="4" spans="1:7" x14ac:dyDescent="0.25">
      <c r="A4">
        <v>2</v>
      </c>
      <c r="B4">
        <v>12584081002</v>
      </c>
      <c r="C4" t="s">
        <v>33</v>
      </c>
      <c r="D4">
        <v>30</v>
      </c>
      <c r="E4" t="s">
        <v>14</v>
      </c>
      <c r="F4" s="8">
        <v>1.38</v>
      </c>
      <c r="G4" s="8">
        <v>41.4</v>
      </c>
    </row>
    <row r="5" spans="1:7" x14ac:dyDescent="0.25">
      <c r="A5">
        <v>3</v>
      </c>
      <c r="B5">
        <v>12393331001</v>
      </c>
      <c r="C5" t="s">
        <v>34</v>
      </c>
      <c r="D5">
        <v>30</v>
      </c>
      <c r="E5" t="s">
        <v>14</v>
      </c>
      <c r="F5" s="8">
        <v>1.17</v>
      </c>
      <c r="G5" s="8">
        <v>35.1</v>
      </c>
    </row>
    <row r="6" spans="1:7" s="1" customFormat="1" x14ac:dyDescent="0.25">
      <c r="D6" s="1" t="s">
        <v>30</v>
      </c>
      <c r="F6" s="9"/>
      <c r="G6" s="9">
        <f>SUM(G2:G5)</f>
        <v>334.77340000000004</v>
      </c>
    </row>
    <row r="7" spans="1:7" x14ac:dyDescent="0.25">
      <c r="D7" s="1" t="s">
        <v>31</v>
      </c>
      <c r="G7" s="9">
        <f>'Podlahové vykurovanie'!G19+'Napojenie vykurovacích telies'!G6+'Vykurovacie telesá'!G5+Viessmann!G20</f>
        <v>19680.063399999999</v>
      </c>
    </row>
    <row r="8" spans="1:7" ht="405" x14ac:dyDescent="0.25">
      <c r="B8" s="2" t="s">
        <v>32</v>
      </c>
      <c r="C8" s="12" t="s">
        <v>58</v>
      </c>
    </row>
    <row r="10" spans="1:7" x14ac:dyDescent="0.25">
      <c r="B10" t="s">
        <v>62</v>
      </c>
      <c r="C10" t="s">
        <v>63</v>
      </c>
    </row>
  </sheetData>
  <pageMargins left="0.7" right="0.7" top="0.75" bottom="0.75" header="0.3" footer="0.3"/>
  <pageSetup paperSize="9" scale="61" orientation="portrait" r:id="rId1"/>
  <headerFooter>
    <oddHeader>&amp;R&amp;b &amp;L&amp;8TechCON - Špecifikácia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E1DC-B343-4B54-B8F9-0AD74BE63685}">
  <sheetPr>
    <pageSetUpPr fitToPage="1"/>
  </sheetPr>
  <dimension ref="A1:G23"/>
  <sheetViews>
    <sheetView topLeftCell="A21" workbookViewId="0">
      <selection activeCell="B22" sqref="B22:C23"/>
    </sheetView>
  </sheetViews>
  <sheetFormatPr defaultRowHeight="15" x14ac:dyDescent="0.25"/>
  <cols>
    <col min="1" max="1" width="3" bestFit="1" customWidth="1"/>
    <col min="2" max="2" width="36.85546875" bestFit="1" customWidth="1"/>
    <col min="3" max="3" width="79.85546875" bestFit="1" customWidth="1"/>
    <col min="4" max="4" width="23.85546875" bestFit="1" customWidth="1"/>
    <col min="5" max="5" width="9" bestFit="1" customWidth="1"/>
    <col min="6" max="6" width="9.28515625" style="8" bestFit="1" customWidth="1"/>
    <col min="7" max="7" width="10.42578125" style="8" bestFit="1" customWidth="1"/>
  </cols>
  <sheetData>
    <row r="1" spans="1:7" ht="75" x14ac:dyDescent="0.25">
      <c r="A1" s="4" t="s">
        <v>0</v>
      </c>
      <c r="B1" s="5" t="s">
        <v>1</v>
      </c>
      <c r="C1" s="5" t="s">
        <v>2</v>
      </c>
      <c r="D1" s="5" t="s">
        <v>3</v>
      </c>
      <c r="E1" s="5" t="s">
        <v>4</v>
      </c>
      <c r="F1" s="6" t="s">
        <v>5</v>
      </c>
      <c r="G1" s="7" t="s">
        <v>6</v>
      </c>
    </row>
    <row r="2" spans="1:7" x14ac:dyDescent="0.25">
      <c r="A2" s="10"/>
      <c r="B2" s="10"/>
      <c r="C2" s="10" t="s">
        <v>7</v>
      </c>
      <c r="D2" s="10"/>
      <c r="E2" s="10"/>
      <c r="F2" s="11"/>
      <c r="G2" s="11"/>
    </row>
    <row r="3" spans="1:7" x14ac:dyDescent="0.25">
      <c r="A3">
        <v>1</v>
      </c>
      <c r="B3" t="s">
        <v>8</v>
      </c>
      <c r="C3" t="s">
        <v>9</v>
      </c>
      <c r="D3">
        <v>1355.42</v>
      </c>
      <c r="E3" t="s">
        <v>10</v>
      </c>
      <c r="F3" s="8">
        <v>1.64</v>
      </c>
      <c r="G3" s="8">
        <v>2222.89</v>
      </c>
    </row>
    <row r="4" spans="1:7" x14ac:dyDescent="0.25">
      <c r="A4">
        <v>2</v>
      </c>
      <c r="B4">
        <v>12278391001</v>
      </c>
      <c r="C4" t="s">
        <v>11</v>
      </c>
      <c r="D4">
        <v>148.88</v>
      </c>
      <c r="E4" t="s">
        <v>12</v>
      </c>
      <c r="F4" s="8">
        <v>9.25</v>
      </c>
      <c r="G4" s="8">
        <v>1377.14</v>
      </c>
    </row>
    <row r="5" spans="1:7" x14ac:dyDescent="0.25">
      <c r="A5">
        <v>3</v>
      </c>
      <c r="B5">
        <v>13802501200</v>
      </c>
      <c r="C5" t="s">
        <v>13</v>
      </c>
      <c r="D5">
        <v>1</v>
      </c>
      <c r="E5" t="s">
        <v>14</v>
      </c>
      <c r="F5" s="8">
        <v>590.5</v>
      </c>
      <c r="G5" s="8">
        <v>590.5</v>
      </c>
    </row>
    <row r="6" spans="1:7" x14ac:dyDescent="0.25">
      <c r="A6">
        <v>4</v>
      </c>
      <c r="B6">
        <v>11374271050</v>
      </c>
      <c r="C6" t="s">
        <v>15</v>
      </c>
      <c r="D6">
        <v>67.77</v>
      </c>
      <c r="E6" t="s">
        <v>10</v>
      </c>
      <c r="F6" s="8">
        <v>1.24</v>
      </c>
      <c r="G6" s="8">
        <v>84.03</v>
      </c>
    </row>
    <row r="7" spans="1:7" x14ac:dyDescent="0.25">
      <c r="A7">
        <v>5</v>
      </c>
      <c r="B7">
        <v>12506071002</v>
      </c>
      <c r="C7" t="s">
        <v>16</v>
      </c>
      <c r="D7">
        <v>30</v>
      </c>
      <c r="E7" t="s">
        <v>14</v>
      </c>
      <c r="F7" s="8">
        <v>4.66</v>
      </c>
      <c r="G7" s="8">
        <v>139.80000000000001</v>
      </c>
    </row>
    <row r="8" spans="1:7" x14ac:dyDescent="0.25">
      <c r="A8">
        <v>6</v>
      </c>
      <c r="B8">
        <v>12081221001</v>
      </c>
      <c r="C8" t="s">
        <v>17</v>
      </c>
      <c r="D8">
        <v>1</v>
      </c>
      <c r="E8" t="s">
        <v>18</v>
      </c>
      <c r="F8" s="8">
        <v>34.4</v>
      </c>
      <c r="G8" s="8">
        <v>34.4</v>
      </c>
    </row>
    <row r="9" spans="1:7" x14ac:dyDescent="0.25">
      <c r="A9">
        <v>7</v>
      </c>
      <c r="B9">
        <v>13474401001</v>
      </c>
      <c r="C9" t="s">
        <v>19</v>
      </c>
      <c r="D9">
        <v>1</v>
      </c>
      <c r="E9" t="s">
        <v>14</v>
      </c>
      <c r="F9" s="8">
        <v>176.42</v>
      </c>
      <c r="G9" s="8">
        <v>176.42</v>
      </c>
    </row>
    <row r="10" spans="1:7" x14ac:dyDescent="0.25">
      <c r="A10">
        <v>8</v>
      </c>
      <c r="B10">
        <v>12392431001</v>
      </c>
      <c r="C10" t="s">
        <v>20</v>
      </c>
      <c r="D10">
        <v>21.05</v>
      </c>
      <c r="E10" t="s">
        <v>10</v>
      </c>
      <c r="F10" s="8">
        <v>10.35</v>
      </c>
      <c r="G10" s="8">
        <v>217.87</v>
      </c>
    </row>
    <row r="11" spans="1:7" x14ac:dyDescent="0.25">
      <c r="A11">
        <v>9</v>
      </c>
      <c r="B11">
        <v>13280041004</v>
      </c>
      <c r="C11" t="s">
        <v>21</v>
      </c>
      <c r="D11">
        <v>4</v>
      </c>
      <c r="E11" t="s">
        <v>14</v>
      </c>
      <c r="F11" s="8">
        <v>128.76</v>
      </c>
      <c r="G11" s="8">
        <v>1416.36</v>
      </c>
    </row>
    <row r="12" spans="1:7" x14ac:dyDescent="0.25">
      <c r="A12">
        <v>10</v>
      </c>
      <c r="B12">
        <v>13280191001</v>
      </c>
      <c r="C12" t="s">
        <v>22</v>
      </c>
      <c r="D12">
        <v>1</v>
      </c>
      <c r="E12" t="s">
        <v>14</v>
      </c>
      <c r="F12" s="8">
        <v>76.48</v>
      </c>
      <c r="G12" s="8">
        <v>76.48</v>
      </c>
    </row>
    <row r="13" spans="1:7" x14ac:dyDescent="0.25">
      <c r="A13">
        <v>11</v>
      </c>
      <c r="B13">
        <v>13280241001</v>
      </c>
      <c r="C13" t="s">
        <v>23</v>
      </c>
      <c r="D13">
        <v>1</v>
      </c>
      <c r="E13" t="s">
        <v>14</v>
      </c>
      <c r="F13" s="8">
        <v>513.73</v>
      </c>
      <c r="G13" s="8">
        <v>513.73</v>
      </c>
    </row>
    <row r="14" spans="1:7" x14ac:dyDescent="0.25">
      <c r="A14">
        <v>12</v>
      </c>
      <c r="B14">
        <v>12179041001</v>
      </c>
      <c r="C14" t="s">
        <v>24</v>
      </c>
      <c r="D14">
        <v>165.3</v>
      </c>
      <c r="E14" t="s">
        <v>10</v>
      </c>
      <c r="F14" s="8">
        <v>1.4</v>
      </c>
      <c r="G14" s="8">
        <v>231.42</v>
      </c>
    </row>
    <row r="15" spans="1:7" x14ac:dyDescent="0.25">
      <c r="A15">
        <v>13</v>
      </c>
      <c r="B15">
        <v>12563741003</v>
      </c>
      <c r="C15" t="s">
        <v>25</v>
      </c>
      <c r="D15">
        <v>32.75</v>
      </c>
      <c r="E15" t="s">
        <v>26</v>
      </c>
      <c r="F15" s="8">
        <v>5.18</v>
      </c>
      <c r="G15" s="8">
        <v>169.65</v>
      </c>
    </row>
    <row r="16" spans="1:7" x14ac:dyDescent="0.25">
      <c r="A16">
        <v>14</v>
      </c>
      <c r="B16">
        <v>13992761001</v>
      </c>
      <c r="C16" t="s">
        <v>27</v>
      </c>
      <c r="D16">
        <v>15</v>
      </c>
      <c r="E16" t="s">
        <v>14</v>
      </c>
      <c r="F16" s="8">
        <v>33.85</v>
      </c>
      <c r="G16" s="8">
        <v>507.75</v>
      </c>
    </row>
    <row r="17" spans="1:7" x14ac:dyDescent="0.25">
      <c r="A17">
        <v>15</v>
      </c>
      <c r="B17">
        <v>12278491001</v>
      </c>
      <c r="C17" t="s">
        <v>28</v>
      </c>
      <c r="D17">
        <v>15</v>
      </c>
      <c r="E17" t="s">
        <v>14</v>
      </c>
      <c r="F17" s="8">
        <v>1.86</v>
      </c>
      <c r="G17" s="8">
        <v>27.9</v>
      </c>
    </row>
    <row r="18" spans="1:7" x14ac:dyDescent="0.25">
      <c r="A18">
        <v>16</v>
      </c>
      <c r="B18">
        <v>12392031001</v>
      </c>
      <c r="C18" t="s">
        <v>29</v>
      </c>
      <c r="D18">
        <v>45</v>
      </c>
      <c r="E18" t="s">
        <v>14</v>
      </c>
      <c r="F18" s="8">
        <v>0.19</v>
      </c>
      <c r="G18" s="8">
        <v>8.5500000000000007</v>
      </c>
    </row>
    <row r="19" spans="1:7" s="1" customFormat="1" x14ac:dyDescent="0.25">
      <c r="D19" s="1" t="s">
        <v>30</v>
      </c>
      <c r="F19" s="9"/>
      <c r="G19" s="9">
        <f>SUM(G2:G18)</f>
        <v>7794.8899999999985</v>
      </c>
    </row>
    <row r="20" spans="1:7" x14ac:dyDescent="0.25">
      <c r="D20" s="1" t="s">
        <v>31</v>
      </c>
      <c r="G20" s="9">
        <f>'Podlahové vykurovanie'!G19+'Napojenie vykurovacích telies'!G6+'Vykurovacie telesá'!G5+Viessmann!G20</f>
        <v>19680.063399999999</v>
      </c>
    </row>
    <row r="21" spans="1:7" ht="390" x14ac:dyDescent="0.25">
      <c r="B21" s="2" t="s">
        <v>32</v>
      </c>
      <c r="C21" s="12" t="s">
        <v>58</v>
      </c>
    </row>
    <row r="23" spans="1:7" x14ac:dyDescent="0.25">
      <c r="B23" t="s">
        <v>62</v>
      </c>
      <c r="C23" t="s">
        <v>63</v>
      </c>
    </row>
  </sheetData>
  <pageMargins left="0.7" right="0.7" top="0.75" bottom="0.75" header="0.3" footer="0.3"/>
  <pageSetup paperSize="9" scale="50" orientation="portrait" r:id="rId1"/>
  <headerFooter>
    <oddHeader>&amp;R&amp;b &amp;L&amp;8TechCON - Špecifikácia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Viessmann</vt:lpstr>
      <vt:lpstr>Vykurovacie telesá</vt:lpstr>
      <vt:lpstr>Napojenie vykurovacích telies</vt:lpstr>
      <vt:lpstr>Podlahové vykurovanie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Viktor Labovský</dc:creator>
  <cp:lastModifiedBy>Viktor Labovský</cp:lastModifiedBy>
  <cp:lastPrinted>2026-09-25T09:51:34Z</cp:lastPrinted>
  <dcterms:created xsi:type="dcterms:W3CDTF">2026-09-04T16:20:33Z</dcterms:created>
  <dcterms:modified xsi:type="dcterms:W3CDTF">2026-09-25T09:51:46Z</dcterms:modified>
</cp:coreProperties>
</file>